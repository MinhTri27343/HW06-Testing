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5096366ac9438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7205664bdd2a4ec1"/>
    <x:sheet xmlns:r="http://schemas.openxmlformats.org/officeDocument/2006/relationships" name="FR-03" sheetId="2" r:id="R89d76af4ea004d0e"/>
    <x:sheet xmlns:r="http://schemas.openxmlformats.org/officeDocument/2006/relationships" name="FR-09" sheetId="3" r:id="Rad6d7f74fc5e4c3c"/>
    <x:sheet xmlns:r="http://schemas.openxmlformats.org/officeDocument/2006/relationships" name="FR-17" sheetId="4" r:id="R5a4cef1eb4b247d1"/>
  </x:sheets>
</x:workbook>
</file>

<file path=xl/sharedStrings.xml><?xml version="1.0" encoding="utf-8"?>
<x:sst xmlns:x="http://schemas.openxmlformats.org/spreadsheetml/2006/main">
  <x:si>
    <x:t xml:space="preserve">HW06 API TESTING - TEST SUMMARY</x:t>
  </x:si>
  <x:si>
    <x:t xml:space="preserve">MSSV 23127502 | FR-03, FR-09, FR-17 | Base URL: http://127.0.0.1:3000</x:t>
  </x:si>
  <x:si>
    <x:t xml:space="preserve">Feature</x:t>
  </x:si>
  <x:si>
    <x:t xml:space="preserve">Total</x:t>
  </x:si>
  <x:si>
    <x:t xml:space="preserve">Passed</x:t>
  </x:si>
  <x:si>
    <x:t xml:space="preserve">Failed</x:t>
  </x:si>
  <x:si>
    <x:t xml:space="preserve">Pass rate</x:t>
  </x:si>
  <x:si>
    <x:t xml:space="preserve">AI</x:t>
  </x:si>
  <x:si>
    <x:t xml:space="preserve">Human</x:t>
  </x:si>
  <x:si>
    <x:t xml:space="preserve">FR-03</x:t>
  </x:si>
  <x:si>
    <x:t xml:space="preserve">FR-09</x:t>
  </x:si>
  <x:si>
    <x:t xml:space="preserve">FR-17</x:t>
  </x:si>
  <x:si>
    <x:t xml:space="preserve">TOTAL</x:t>
  </x:si>
  <x:si>
    <x:t xml:space="preserve">Audit AI</x:t>
  </x:si>
  <x:si>
    <x:t xml:space="preserve">VALID</x:t>
  </x:si>
  <x:si>
    <x:t xml:space="preserve">INVALID</x:t>
  </x:si>
  <x:si>
    <x:t xml:space="preserve">INCOMPLETE</x:t>
  </x:si>
  <x:si>
    <x:t xml:space="preserve">Nguồn: api_specification.md và SRS chính thức https://github.com/ttbhanh/eshop-sut</x:t>
  </x:si>
  <x:si>
    <x:t xml:space="preserve">FR-03 - 40 TEST CASES (35 AI + 5 HUMAN)</x:t>
  </x:si>
  <x:si>
    <x:t xml:space="preserve">ID</x:t>
  </x:si>
  <x:si>
    <x:t xml:space="preserve">Nguồn</x:t>
  </x:si>
  <x:si>
    <x:t xml:space="preserve">Loại</x:t>
  </x:si>
  <x:si>
    <x:t xml:space="preserve">Tên ca kiểm thử</x:t>
  </x:si>
  <x:si>
    <x:t xml:space="preserve">Method</x:t>
  </x:si>
  <x:si>
    <x:t xml:space="preserve">Endpoint</x:t>
  </x:si>
  <x:si>
    <x:t xml:space="preserve">Auth</x:t>
  </x:si>
  <x:si>
    <x:t xml:space="preserve">Tiền điều kiện</x:t>
  </x:si>
  <x:si>
    <x:t xml:space="preserve">Dữ liệu đầu vào</x:t>
  </x:si>
  <x:si>
    <x:t xml:space="preserve">HTTP mong đợi</x:t>
  </x:si>
  <x:si>
    <x:t xml:space="preserve">Oracle</x:t>
  </x:si>
  <x:si>
    <x:t xml:space="preserve">SEC</x:t>
  </x:si>
  <x:si>
    <x:t xml:space="preserve">Audit</x:t>
  </x:si>
  <x:si>
    <x:t xml:space="preserve">Lý do / Correction</x:t>
  </x:si>
  <x:si>
    <x:t xml:space="preserve">Kết quả thực tế</x:t>
  </x:si>
  <x:si>
    <x:t xml:space="preserve">Trạng thái</x:t>
  </x:si>
  <x:si>
    <x:t xml:space="preserve">Bug ID</x:t>
  </x:si>
  <x:si>
    <x:t xml:space="preserve">FR-03-TC-001</x:t>
  </x:si>
  <x:si>
    <x:t xml:space="preserve">domain</x:t>
  </x:si>
  <x:si>
    <x:t xml:space="preserve">Email user đã đăng ký nhận OTP</x:t>
  </x:si>
  <x:si>
    <x:t xml:space="preserve">POST</x:t>
  </x:si>
  <x:si>
    <x:t xml:space="preserve">/api/forgot-password</x:t>
  </x:si>
  <x:si>
    <x:t xml:space="preserve">none</x:t>
  </x:si>
  <x:si>
    <x:t xml:space="preserve">Backend được reset và seed; baseUrl khả dụng.</x:t>
  </x:si>
  <x:si>
    <x:t xml:space="preserve">{"email":"test@eshop.com"}</x:t>
  </x:si>
  <x:si>
    <x:t xml:space="preserve">otp-six-digits</x:t>
  </x:si>
  <x:si>
    <x:t xml:space="preserve">HTTP 200; 1 assertion lỗi: expected '1264' to match /^\d{6}$/</x:t>
  </x:si>
  <x:si>
    <x:t xml:space="preserve">FAIL</x:t>
  </x:si>
  <x:si>
    <x:t xml:space="preserve">FR-03-TC-002</x:t>
  </x:si>
  <x:si>
    <x:t xml:space="preserve">Email admin đã đăng ký nhận OTP</x:t>
  </x:si>
  <x:si>
    <x:t xml:space="preserve">{"email":"admin@eshop.com"}</x:t>
  </x:si>
  <x:si>
    <x:t xml:space="preserve">HTTP 200; 1 assertion lỗi: expected '1915' to match /^\d{6}$/</x:t>
  </x:si>
  <x:si>
    <x:t xml:space="preserve">FR-03-TC-003</x:t>
  </x:si>
  <x:si>
    <x:t xml:space="preserve">Email chưa đăng ký bị từ chối</x:t>
  </x:si>
  <x:si>
    <x:t xml:space="preserve">{"email":"missing@eshop.com"}</x:t>
  </x:si>
  <x:si>
    <x:t xml:space="preserve">status-and-schema</x:t>
  </x:si>
  <x:si>
    <x:t xml:space="preserve">HTTP 404; tất cả assertion đạt.</x:t>
  </x:si>
  <x:si>
    <x:t xml:space="preserve">PASS</x:t>
  </x:si>
  <x:si>
    <x:t xml:space="preserve">FR-03-TC-004</x:t>
  </x:si>
  <x:si>
    <x:t xml:space="preserve">partition</x:t>
  </x:si>
  <x:si>
    <x:t xml:space="preserve">Email rỗng</x:t>
  </x:si>
  <x:si>
    <x:t xml:space="preserve">{"email":""}</x:t>
  </x:si>
  <x:si>
    <x:t xml:space="preserve">HTTP 404; 1 assertion lỗi: expected response to have status code 400 but got 404</x:t>
  </x:si>
  <x:si>
    <x:t xml:space="preserve">FR-03-TC-005</x:t>
  </x:si>
  <x:si>
    <x:t xml:space="preserve">Thiếu trường email</x:t>
  </x:si>
  <x:si>
    <x:t xml:space="preserve">{}</x:t>
  </x:si>
  <x:si>
    <x:t xml:space="preserve">FR-03-TC-006</x:t>
  </x:si>
  <x:si>
    <x:t xml:space="preserve">Email null</x:t>
  </x:si>
  <x:si>
    <x:t xml:space="preserve">{"email":null}</x:t>
  </x:si>
  <x:si>
    <x:t xml:space="preserve">FR-03-TC-007</x:t>
  </x:si>
  <x:si>
    <x:t xml:space="preserve">Email sai định dạng thiếu @</x:t>
  </x:si>
  <x:si>
    <x:t xml:space="preserve">{"email":"test.eshop.com"}</x:t>
  </x:si>
  <x:si>
    <x:t xml:space="preserve">FR-03-TC-008</x:t>
  </x:si>
  <x:si>
    <x:t xml:space="preserve">Email sai định dạng thiếu domain</x:t>
  </x:si>
  <x:si>
    <x:t xml:space="preserve">{"email":"test@"}</x:t>
  </x:si>
  <x:si>
    <x:t xml:space="preserve">FR-03-TC-009</x:t>
  </x:si>
  <x:si>
    <x:t xml:space="preserve">Email có khoảng trắng đầu cuối</x:t>
  </x:si>
  <x:si>
    <x:t xml:space="preserve">{"email":" test@eshop.com "}</x:t>
  </x:si>
  <x:si>
    <x:t xml:space="preserve">FR-03-TC-010</x:t>
  </x:si>
  <x:si>
    <x:t xml:space="preserve">security</x:t>
  </x:si>
  <x:si>
    <x:t xml:space="preserve">Payload email SQL injection không được thực thi</x:t>
  </x:si>
  <x:si>
    <x:t xml:space="preserve">{"email":"' OR 1=1 --"}</x:t>
  </x:si>
  <x:si>
    <x:t xml:space="preserve">FR-03-TC-011</x:t>
  </x:si>
  <x:si>
    <x:t xml:space="preserve">Email dạng object bị từ chối</x:t>
  </x:si>
  <x:si>
    <x:t xml:space="preserve">{"email":{"$ne":null}}</x:t>
  </x:si>
  <x:si>
    <x:t xml:space="preserve">FR-03-TC-012</x:t>
  </x:si>
  <x:si>
    <x:t xml:space="preserve">schema</x:t>
  </x:si>
  <x:si>
    <x:t xml:space="preserve">Response lấy OTP không lộ password</x:t>
  </x:si>
  <x:si>
    <x:t xml:space="preserve">no-password-field</x:t>
  </x:si>
  <x:si>
    <x:t xml:space="preserve">HTTP 200; tất cả assertion đạt.</x:t>
  </x:si>
  <x:si>
    <x:t xml:space="preserve">FR-03-TC-013</x:t>
  </x:si>
  <x:si>
    <x:t xml:space="preserve">boundary</x:t>
  </x:si>
  <x:si>
    <x:t xml:space="preserve">OTP trả về đúng 6 chữ số</x:t>
  </x:si>
  <x:si>
    <x:t xml:space="preserve">HTTP 200; 1 assertion lỗi: expected '3508' to match /^\d{6}$/</x:t>
  </x:si>
  <x:si>
    <x:t xml:space="preserve">FR-03-TC-014</x:t>
  </x:si>
  <x:si>
    <x:t xml:space="preserve">Reset với OTP hợp lệ</x:t>
  </x:si>
  <x:si>
    <x:t xml:space="preserve">/api/reset-password</x:t>
  </x:si>
  <x:si>
    <x:t xml:space="preserve">{"email":"test@eshop.com","resetToken":"{{activeOtp}}","newPassword":"ValidPass1!"}</x:t>
  </x:si>
  <x:si>
    <x:t xml:space="preserve">FR-03-TC-015</x:t>
  </x:si>
  <x:si>
    <x:t xml:space="preserve">Reset với OTP sai</x:t>
  </x:si>
  <x:si>
    <x:t xml:space="preserve">{"email":"test@eshop.com","resetToken":"999999","newPassword":"ValidPass1!"}</x:t>
  </x:si>
  <x:si>
    <x:t xml:space="preserve">HTTP 400; tất cả assertion đạt.</x:t>
  </x:si>
  <x:si>
    <x:t xml:space="preserve">FR-03-TC-016</x:t>
  </x:si>
  <x:si>
    <x:t xml:space="preserve">OTP của email này không dùng cho email khác</x:t>
  </x:si>
  <x:si>
    <x:t xml:space="preserve">{"email":"admin@eshop.com","resetToken":"{{activeOtp}}","newPassword":"ValidPass1!"}</x:t>
  </x:si>
  <x:si>
    <x:t xml:space="preserve">FR-03-TC-017</x:t>
  </x:si>
  <x:si>
    <x:t xml:space="preserve">Reset thiếu email</x:t>
  </x:si>
  <x:si>
    <x:t xml:space="preserve">{"resetToken":"123456","newPassword":"ValidPass1!"}</x:t>
  </x:si>
  <x:si>
    <x:t xml:space="preserve">FR-03-TC-018</x:t>
  </x:si>
  <x:si>
    <x:t xml:space="preserve">Reset thiếu OTP</x:t>
  </x:si>
  <x:si>
    <x:t xml:space="preserve">{"email":"test@eshop.com","newPassword":"ValidPass1!"}</x:t>
  </x:si>
  <x:si>
    <x:t xml:space="preserve">FR-03-TC-019</x:t>
  </x:si>
  <x:si>
    <x:t xml:space="preserve">Reset thiếu mật khẩu mới</x:t>
  </x:si>
  <x:si>
    <x:t xml:space="preserve">{"email":"test@eshop.com","resetToken":"123456"}</x:t>
  </x:si>
  <x:si>
    <x:t xml:space="preserve">FR-03-TC-020</x:t>
  </x:si>
  <x:si>
    <x:t xml:space="preserve">OTP rỗng</x:t>
  </x:si>
  <x:si>
    <x:t xml:space="preserve">{"email":"test@eshop.com","resetToken":"","newPassword":"ValidPass1!"}</x:t>
  </x:si>
  <x:si>
    <x:t xml:space="preserve">FR-03-TC-021</x:t>
  </x:si>
  <x:si>
    <x:t xml:space="preserve">OTP null</x:t>
  </x:si>
  <x:si>
    <x:t xml:space="preserve">{"email":"test@eshop.com","resetToken":null,"newPassword":"ValidPass1!"}</x:t>
  </x:si>
  <x:si>
    <x:t xml:space="preserve">FR-03-TC-022</x:t>
  </x:si>
  <x:si>
    <x:t xml:space="preserve">OTP 5 chữ số bị từ chối</x:t>
  </x:si>
  <x:si>
    <x:t xml:space="preserve">{"email":"test@eshop.com","resetToken":"12345","newPassword":"ValidPass1!"}</x:t>
  </x:si>
  <x:si>
    <x:t xml:space="preserve">FR-03-TC-023</x:t>
  </x:si>
  <x:si>
    <x:t xml:space="preserve">OTP 7 chữ số bị từ chối</x:t>
  </x:si>
  <x:si>
    <x:t xml:space="preserve">{"email":"test@eshop.com","resetToken":"1234567","newPassword":"ValidPass1!"}</x:t>
  </x:si>
  <x:si>
    <x:t xml:space="preserve">FR-03-TC-024</x:t>
  </x:si>
  <x:si>
    <x:t xml:space="preserve">OTP chứa chữ bị từ chối</x:t>
  </x:si>
  <x:si>
    <x:t xml:space="preserve">{"email":"test@eshop.com","resetToken":"12AB56","newPassword":"ValidPass1!"}</x:t>
  </x:si>
  <x:si>
    <x:t xml:space="preserve">FR-03-TC-025</x:t>
  </x:si>
  <x:si>
    <x:t xml:space="preserve">OTP chứa khoảng trắng bị từ chối</x:t>
  </x:si>
  <x:si>
    <x:t xml:space="preserve">{"email":"test@eshop.com","resetToken":" 123456 ","newPassword":"ValidPass1!"}</x:t>
  </x:si>
  <x:si>
    <x:t xml:space="preserve">FR-03-TC-026</x:t>
  </x:si>
  <x:si>
    <x:t xml:space="preserve">Mật khẩu đúng 8 ký tự hợp lệ</x:t>
  </x:si>
  <x:si>
    <x:t xml:space="preserve">{"email":"test@eshop.com","resetToken":"{{activeOtp}}","newPassword":"Abcd12!x"}</x:t>
  </x:si>
  <x:si>
    <x:t xml:space="preserve">FR-03-TC-027</x:t>
  </x:si>
  <x:si>
    <x:t xml:space="preserve">Mật khẩu 7 ký tự bị từ chối</x:t>
  </x:si>
  <x:si>
    <x:t xml:space="preserve">{"email":"test@eshop.com","resetToken":"{{activeOtp}}","newPassword":"Ab1!xyz"}</x:t>
  </x:si>
  <x:si>
    <x:t xml:space="preserve">HTTP 200; 2 assertion lỗi: expected response to have status code 400 but got 200 | expected { Object (message) } to have property 'error'</x:t>
  </x:si>
  <x:si>
    <x:t xml:space="preserve">FR-03-TC-028</x:t>
  </x:si>
  <x:si>
    <x:t xml:space="preserve">Mật khẩu thiếu chữ hoa</x:t>
  </x:si>
  <x:si>
    <x:t xml:space="preserve">{"email":"test@eshop.com","resetToken":"{{activeOtp}}","newPassword":"abcdef1!"}</x:t>
  </x:si>
  <x:si>
    <x:t xml:space="preserve">FR-03-TC-029</x:t>
  </x:si>
  <x:si>
    <x:t xml:space="preserve">Mật khẩu thiếu chữ thường</x:t>
  </x:si>
  <x:si>
    <x:t xml:space="preserve">{"email":"test@eshop.com","resetToken":"{{activeOtp}}","newPassword":"ABCDEF1!"}</x:t>
  </x:si>
  <x:si>
    <x:t xml:space="preserve">FR-03-TC-030</x:t>
  </x:si>
  <x:si>
    <x:t xml:space="preserve">Mật khẩu thiếu chữ số</x:t>
  </x:si>
  <x:si>
    <x:t xml:space="preserve">{"email":"test@eshop.com","resetToken":"{{activeOtp}}","newPassword":"Abcdefg!"}</x:t>
  </x:si>
  <x:si>
    <x:t xml:space="preserve">FR-03-TC-031</x:t>
  </x:si>
  <x:si>
    <x:t xml:space="preserve">Mật khẩu thiếu ký tự đặc biệt</x:t>
  </x:si>
  <x:si>
    <x:t xml:space="preserve">{"email":"test@eshop.com","resetToken":"{{activeOtp}}","newPassword":"Abcdefg1"}</x:t>
  </x:si>
  <x:si>
    <x:t xml:space="preserve">FR-03-TC-032</x:t>
  </x:si>
  <x:si>
    <x:t xml:space="preserve">Mật khẩu null bị từ chối</x:t>
  </x:si>
  <x:si>
    <x:t xml:space="preserve">{"email":"test@eshop.com","resetToken":"{{activeOtp}}","newPassword":null}</x:t>
  </x:si>
  <x:si>
    <x:t xml:space="preserve">FR-03-TC-033</x:t>
  </x:si>
  <x:si>
    <x:t xml:space="preserve">state</x:t>
  </x:si>
  <x:si>
    <x:t xml:space="preserve">OTP đã dùng không thể dùng lại</x:t>
  </x:si>
  <x:si>
    <x:t xml:space="preserve">{"email":"test@eshop.com","resetToken":"{{activeOtp}}","newPassword":"Another1!"}</x:t>
  </x:si>
  <x:si>
    <x:t xml:space="preserve">FR-03-TC-034</x:t>
  </x:si>
  <x:si>
    <x:t xml:space="preserve">Reset thành công chỉ trả message</x:t>
  </x:si>
  <x:si>
    <x:t xml:space="preserve">{"email":"test@eshop.com","resetToken":"{{activeOtp}}","newPassword":"SchemaOk1!"}</x:t>
  </x:si>
  <x:si>
    <x:t xml:space="preserve">FR-03-TC-035</x:t>
  </x:si>
  <x:si>
    <x:t xml:space="preserve">Reset SQL injection ở email bị từ chối</x:t>
  </x:si>
  <x:si>
    <x:t xml:space="preserve">{"email":"' OR 1=1 --","resetToken":"123456","newPassword":"ValidPass1!"}</x:t>
  </x:si>
  <x:si>
    <x:t xml:space="preserve">FR-03-TC-036</x:t>
  </x:si>
  <x:si>
    <x:t xml:space="preserve">HUMAN</x:t>
  </x:si>
  <x:si>
    <x:t xml:space="preserve">Chống brute-force OTP với nhiều lần thử sai</x:t>
  </x:si>
  <x:si>
    <x:t xml:space="preserve">{"email":"test@eshop.com","resetToken":"000000","newPassword":"ValidPass1!"}</x:t>
  </x:si>
  <x:si>
    <x:t xml:space="preserve">rate-limit</x:t>
  </x:si>
  <x:si>
    <x:t xml:space="preserve">N/A</x:t>
  </x:si>
  <x:si>
    <x:t xml:space="preserve">HTTP 400; 1 assertion lỗi: expected response to have status code 429 but got 400</x:t>
  </x:si>
  <x:si>
    <x:t xml:space="preserve">FR-03-TC-037</x:t>
  </x:si>
  <x:si>
    <x:t xml:space="preserve">Hai yêu cầu OTP liên tiếp vô hiệu hóa OTP cũ</x:t>
  </x:si>
  <x:si>
    <x:t xml:space="preserve">{"email":"test@eshop.com","resetToken":"{{oldOtp}}","newPassword":"ValidPass1!"}</x:t>
  </x:si>
  <x:si>
    <x:t xml:space="preserve">FR-03-TC-038</x:t>
  </x:si>
  <x:si>
    <x:t xml:space="preserve">OTP hết hạn bị từ chối</x:t>
  </x:si>
  <x:si>
    <x:t xml:space="preserve">{"email":"test@eshop.com","resetToken":"111111","newPassword":"ValidPass1!"}</x:t>
  </x:si>
  <x:si>
    <x:t xml:space="preserve">FR-03-TC-039</x:t>
  </x:si>
  <x:si>
    <x:t xml:space="preserve">Null byte trong email không vượt kiểm tra</x:t>
  </x:si>
  <x:si>
    <x:t xml:space="preserve">{"email":"test@eshop.com\u0000.attacker"}</x:t>
  </x:si>
  <x:si>
    <x:t xml:space="preserve">FR-03-TC-040</x:t>
  </x:si>
  <x:si>
    <x:t xml:space="preserve">Mật khẩu không đổi khi OTP sai</x:t>
  </x:si>
  <x:si>
    <x:t xml:space="preserve">{"email":"test@eshop.com","resetToken":"999999","newPassword":"ShouldNot1!"}</x:t>
  </x:si>
  <x:si>
    <x:t xml:space="preserve">password-unchanged</x:t>
  </x:si>
  <x:si>
    <x:t xml:space="preserve">FR-09 - 40 TEST CASES (35 AI + 5 HUMAN)</x:t>
  </x:si>
  <x:si>
    <x:t xml:space="preserve">FR-09-TC-001</x:t>
  </x:si>
  <x:si>
    <x:t xml:space="preserve">SAVE10 hợp lệ trên ngưỡng</x:t>
  </x:si>
  <x:si>
    <x:t xml:space="preserve">/api/apply-coupon</x:t>
  </x:si>
  <x:si>
    <x:t xml:space="preserve">user</x:t>
  </x:si>
  <x:si>
    <x:t xml:space="preserve">{"code":"SAVE10","total_amount":500000,"user_id":2}</x:t>
  </x:si>
  <x:si>
    <x:t xml:space="preserve">percent-formula</x:t>
  </x:si>
  <x:si>
    <x:t xml:space="preserve">HTTP 200; 1 assertion lỗi: expected -4500000 to deeply equal 50000</x:t>
  </x:si>
  <x:si>
    <x:t xml:space="preserve">FR-09-TC-002</x:t>
  </x:si>
  <x:si>
    <x:t xml:space="preserve">BIGBUY fixed hợp lệ</x:t>
  </x:si>
  <x:si>
    <x:t xml:space="preserve">{"code":"BIGBUY","total_amount":600000,"user_id":2}</x:t>
  </x:si>
  <x:si>
    <x:t xml:space="preserve">fixed-formula</x:t>
  </x:si>
  <x:si>
    <x:t xml:space="preserve">FR-09-TC-003</x:t>
  </x:si>
  <x:si>
    <x:t xml:space="preserve">VIP100 hợp lệ</x:t>
  </x:si>
  <x:si>
    <x:t xml:space="preserve">{"code":"VIP100","total_amount":500000,"user_id":2}</x:t>
  </x:si>
  <x:si>
    <x:t xml:space="preserve">FR-09-TC-004</x:t>
  </x:si>
  <x:si>
    <x:t xml:space="preserve">Coupon hết hạn bị từ chối</x:t>
  </x:si>
  <x:si>
    <x:t xml:space="preserve">{"code":"EXPIRED","total_amount":500000,"user_id":2}</x:t>
  </x:si>
  <x:si>
    <x:t xml:space="preserve">FR-09-TC-005</x:t>
  </x:si>
  <x:si>
    <x:t xml:space="preserve">Coupon không tồn tại</x:t>
  </x:si>
  <x:si>
    <x:t xml:space="preserve">{"code":"NO_SUCH_CODE","total_amount":500000,"user_id":2}</x:t>
  </x:si>
  <x:si>
    <x:t xml:space="preserve">FR-09-TC-006</x:t>
  </x:si>
  <x:si>
    <x:t xml:space="preserve">Thiếu code</x:t>
  </x:si>
  <x:si>
    <x:t xml:space="preserve">{"total_amount":500000,"user_id":2}</x:t>
  </x:si>
  <x:si>
    <x:t xml:space="preserve">FR-09-TC-007</x:t>
  </x:si>
  <x:si>
    <x:t xml:space="preserve">Code rỗng</x:t>
  </x:si>
  <x:si>
    <x:t xml:space="preserve">{"code":"","total_amount":500000,"user_id":2}</x:t>
  </x:si>
  <x:si>
    <x:t xml:space="preserve">FR-09-TC-008</x:t>
  </x:si>
  <x:si>
    <x:t xml:space="preserve">Code chỉ có khoảng trắng</x:t>
  </x:si>
  <x:si>
    <x:t xml:space="preserve">{"code":"   ","total_amount":500000,"user_id":2}</x:t>
  </x:si>
  <x:si>
    <x:t xml:space="preserve">FR-09-TC-009</x:t>
  </x:si>
  <x:si>
    <x:t xml:space="preserve">Code sai chữ thường hoa</x:t>
  </x:si>
  <x:si>
    <x:t xml:space="preserve">{"code":"save10","total_amount":500000,"user_id":2}</x:t>
  </x:si>
  <x:si>
    <x:t xml:space="preserve">FR-09-TC-010</x:t>
  </x:si>
  <x:si>
    <x:t xml:space="preserve">Code SQL injection không được thực thi</x:t>
  </x:si>
  <x:si>
    <x:t xml:space="preserve">{"code":"' OR 1=1 --","total_amount":500000,"user_id":2}</x:t>
  </x:si>
  <x:si>
    <x:t xml:space="preserve">FR-09-TC-011</x:t>
  </x:si>
  <x:si>
    <x:t xml:space="preserve">SAVE10 đúng ngưỡng tối thiểu</x:t>
  </x:si>
  <x:si>
    <x:t xml:space="preserve">{"code":"SAVE10","total_amount":300000,"user_id":2}</x:t>
  </x:si>
  <x:si>
    <x:t xml:space="preserve">HTTP 400; 5 assertion lỗi: expected response to have status code 200 but got 400 | expected { Object (error) } to have property 'success' | expected { Object (error) } to have property 'discount_amount' | expected { Object (error) } to have property 'final_amount' | expected undefined to deeply equal 30000</x:t>
  </x:si>
  <x:si>
    <x:t xml:space="preserve">FR-09-TC-012</x:t>
  </x:si>
  <x:si>
    <x:t xml:space="preserve">SAVE10 thấp hơn ngưỡng 1 đồng</x:t>
  </x:si>
  <x:si>
    <x:t xml:space="preserve">{"code":"SAVE10","total_amount":299999,"user_id":2}</x:t>
  </x:si>
  <x:si>
    <x:t xml:space="preserve">FR-09-TC-013</x:t>
  </x:si>
  <x:si>
    <x:t xml:space="preserve">SAVE10 cao hơn ngưỡng 1 đồng</x:t>
  </x:si>
  <x:si>
    <x:t xml:space="preserve">{"code":"SAVE10","total_amount":300001,"user_id":2}</x:t>
  </x:si>
  <x:si>
    <x:t xml:space="preserve">HTTP 200; 1 assertion lỗi: expected -2700009 to deeply equal 30000</x:t>
  </x:si>
  <x:si>
    <x:t xml:space="preserve">FR-09-TC-014</x:t>
  </x:si>
  <x:si>
    <x:t xml:space="preserve">BIGBUY đúng ngưỡng tối thiểu</x:t>
  </x:si>
  <x:si>
    <x:t xml:space="preserve">{"code":"BIGBUY","total_amount":500000,"user_id":2}</x:t>
  </x:si>
  <x:si>
    <x:t xml:space="preserve">HTTP 400; 5 assertion lỗi: expected response to have status code 200 but got 400 | expected { Object (error) } to have property 'success' | expected { Object (error) } to have property 'discount_amount' | expected { Object (error) } to have property 'final_amount' | expected undefined to deeply equal 50000</x:t>
  </x:si>
  <x:si>
    <x:t xml:space="preserve">FR-09-TC-015</x:t>
  </x:si>
  <x:si>
    <x:t xml:space="preserve">total_amount âm</x:t>
  </x:si>
  <x:si>
    <x:t xml:space="preserve">{"code":"SAVE10","total_amount":-1,"user_id":2}</x:t>
  </x:si>
  <x:si>
    <x:t xml:space="preserve">FR-09-TC-016</x:t>
  </x:si>
  <x:si>
    <x:t xml:space="preserve">total_amount bằng 0</x:t>
  </x:si>
  <x:si>
    <x:t xml:space="preserve">{"code":"SAVE10","total_amount":0,"user_id":2}</x:t>
  </x:si>
  <x:si>
    <x:t xml:space="preserve">FR-09-TC-017</x:t>
  </x:si>
  <x:si>
    <x:t xml:space="preserve">Thiếu total_amount</x:t>
  </x:si>
  <x:si>
    <x:t xml:space="preserve">{"code":"SAVE10","user_id":2}</x:t>
  </x:si>
  <x:si>
    <x:t xml:space="preserve">FR-09-TC-018</x:t>
  </x:si>
  <x:si>
    <x:t xml:space="preserve">total_amount null</x:t>
  </x:si>
  <x:si>
    <x:t xml:space="preserve">{"code":"SAVE10","total_amount":null,"user_id":2}</x:t>
  </x:si>
  <x:si>
    <x:t xml:space="preserve">FR-09-TC-019</x:t>
  </x:si>
  <x:si>
    <x:t xml:space="preserve">total_amount là chuỗi số</x:t>
  </x:si>
  <x:si>
    <x:t xml:space="preserve">{"code":"SAVE10","total_amount":"500000","user_id":2}</x:t>
  </x:si>
  <x:si>
    <x:t xml:space="preserve">HTTP 200; 2 assertion lỗi: expected response to have status code 400 but got 200 | expected { success: true, coupon_id: 1, …(3) } to have property 'error'</x:t>
  </x:si>
  <x:si>
    <x:t xml:space="preserve">FR-09-TC-020</x:t>
  </x:si>
  <x:si>
    <x:t xml:space="preserve">total_amount là chuỗi bất kỳ</x:t>
  </x:si>
  <x:si>
    <x:t xml:space="preserve">{"code":"SAVE10","total_amount":"abc","user_id":2}</x:t>
  </x:si>
  <x:si>
    <x:t xml:space="preserve">FR-09-TC-021</x:t>
  </x:si>
  <x:si>
    <x:t xml:space="preserve">total_amount số thập phân</x:t>
  </x:si>
  <x:si>
    <x:t xml:space="preserve">{"code":"SAVE10","total_amount":500000.5,"user_id":2}</x:t>
  </x:si>
  <x:si>
    <x:t xml:space="preserve">FR-09-TC-022</x:t>
  </x:si>
  <x:si>
    <x:t xml:space="preserve">total_amount rất lớn</x:t>
  </x:si>
  <x:si>
    <x:t xml:space="preserve">{"code":"BIGBUY","total_amount":9007199254740991,"user_id":2}</x:t>
  </x:si>
  <x:si>
    <x:t xml:space="preserve">FR-09-TC-023</x:t>
  </x:si>
  <x:si>
    <x:t xml:space="preserve">Thiếu JWT bị từ chối</x:t>
  </x:si>
  <x:si>
    <x:t xml:space="preserve">HTTP 200; 2 assertion lỗi: expected response to have status code 401 but got 200 | expected { success: true, coupon_id: 1, …(3) } to have property 'error'</x:t>
  </x:si>
  <x:si>
    <x:t xml:space="preserve">FR-09-TC-024</x:t>
  </x:si>
  <x:si>
    <x:t xml:space="preserve">JWT không hợp lệ bị từ chối</x:t>
  </x:si>
  <x:si>
    <x:t xml:space="preserve">invalid</x:t>
  </x:si>
  <x:si>
    <x:t xml:space="preserve">HTTP 200; 2 assertion lỗi: expected response to have status code 403 but got 200 | expected { success: true, coupon_id: 1, …(3) } to have property 'error'</x:t>
  </x:si>
  <x:si>
    <x:t xml:space="preserve">FR-09-TC-025</x:t>
  </x:si>
  <x:si>
    <x:t xml:space="preserve">JWT user hợp lệ được chấp nhận</x:t>
  </x:si>
  <x:si>
    <x:t xml:space="preserve">FR-09-TC-026</x:t>
  </x:si>
  <x:si>
    <x:t xml:space="preserve">Thiếu user_id khi đã đăng nhập</x:t>
  </x:si>
  <x:si>
    <x:t xml:space="preserve">{"code":"BIGBUY","total_amount":600000}</x:t>
  </x:si>
  <x:si>
    <x:t xml:space="preserve">identity-from-token</x:t>
  </x:si>
  <x:si>
    <x:t xml:space="preserve">FR-09-TC-027</x:t>
  </x:si>
  <x:si>
    <x:t xml:space="preserve">user_id của người khác bị bỏ qua</x:t>
  </x:si>
  <x:si>
    <x:t xml:space="preserve">{"code":"BIGBUY","total_amount":600000,"user_id":1}</x:t>
  </x:si>
  <x:si>
    <x:t xml:space="preserve">FR-09-TC-028</x:t>
  </x:si>
  <x:si>
    <x:t xml:space="preserve">user_id dạng chuỗi bị từ chối</x:t>
  </x:si>
  <x:si>
    <x:t xml:space="preserve">{"code":"BIGBUY","total_amount":600000,"user_id":"2"}</x:t>
  </x:si>
  <x:si>
    <x:t xml:space="preserve">HTTP 200; 2 assertion lỗi: expected response to have status code 400 but got 200 | expected { success: true, coupon_id: 2, …(3) } to have property 'error'</x:t>
  </x:si>
  <x:si>
    <x:t xml:space="preserve">FR-09-TC-029</x:t>
  </x:si>
  <x:si>
    <x:t xml:space="preserve">user_id không tồn tại bị từ chối</x:t>
  </x:si>
  <x:si>
    <x:t xml:space="preserve">{"code":"BIGBUY","total_amount":600000,"user_id":999999}</x:t>
  </x:si>
  <x:si>
    <x:t xml:space="preserve">FR-09-TC-030</x:t>
  </x:si>
  <x:si>
    <x:t xml:space="preserve">SAVE10 đã dùng hết lượt bị từ chối</x:t>
  </x:si>
  <x:si>
    <x:t xml:space="preserve">FR-09-TC-031</x:t>
  </x:si>
  <x:si>
    <x:t xml:space="preserve">VIP100 còn lượt thứ hai</x:t>
  </x:si>
  <x:si>
    <x:t xml:space="preserve">FR-09-TC-032</x:t>
  </x:si>
  <x:si>
    <x:t xml:space="preserve">VIP100 hết hai lượt</x:t>
  </x:si>
  <x:si>
    <x:t xml:space="preserve">FR-09-TC-033</x:t>
  </x:si>
  <x:si>
    <x:t xml:space="preserve">Response thành công dùng đúng kiểu dữ liệu</x:t>
  </x:si>
  <x:si>
    <x:t xml:space="preserve">success-types</x:t>
  </x:si>
  <x:si>
    <x:t xml:space="preserve">FR-09-TC-034</x:t>
  </x:si>
  <x:si>
    <x:t xml:space="preserve">Response lỗi có trường error</x:t>
  </x:si>
  <x:si>
    <x:t xml:space="preserve">{"code":"MISSING","total_amount":600000,"user_id":2}</x:t>
  </x:si>
  <x:si>
    <x:t xml:space="preserve">FR-09-TC-035</x:t>
  </x:si>
  <x:si>
    <x:t xml:space="preserve">Prototype-shaped code không gây lỗi máy chủ</x:t>
  </x:si>
  <x:si>
    <x:t xml:space="preserve">{"code":"__proto__","total_amount":600000,"user_id":2}</x:t>
  </x:si>
  <x:si>
    <x:t xml:space="preserve">FR-09-TC-036</x:t>
  </x:si>
  <x:si>
    <x:t xml:space="preserve">concurrency</x:t>
  </x:si>
  <x:si>
    <x:t xml:space="preserve">Hai request đồng thời không vượt max_uses_per_user</x:t>
  </x:si>
  <x:si>
    <x:t xml:space="preserve">concurrent-usage</x:t>
  </x:si>
  <x:si>
    <x:t xml:space="preserve">FR-09-TC-037</x:t>
  </x:si>
  <x:si>
    <x:t xml:space="preserve">Fixed discount lớn hơn tổng tiền không tạo final âm</x:t>
  </x:si>
  <x:si>
    <x:t xml:space="preserve">{"code":"VIP100","total_amount":50000,"user_id":2}</x:t>
  </x:si>
  <x:si>
    <x:t xml:space="preserve">nonnegative-final</x:t>
  </x:si>
  <x:si>
    <x:t xml:space="preserve">FR-09-TC-038</x:t>
  </x:si>
  <x:si>
    <x:t xml:space="preserve">Client giả mạo user_id không chiếm lượt của nạn nhân</x:t>
  </x:si>
  <x:si>
    <x:t xml:space="preserve">{"code":"VIP100","total_amount":500000,"user_id":1}</x:t>
  </x:si>
  <x:si>
    <x:t xml:space="preserve">FR-09-TC-039</x:t>
  </x:si>
  <x:si>
    <x:t xml:space="preserve">Ghi nhận coupon usage bắt buộc đúng danh tính JWT</x:t>
  </x:si>
  <x:si>
    <x:t xml:space="preserve">/api/coupon-usage</x:t>
  </x:si>
  <x:si>
    <x:t xml:space="preserve">{"coupon_id":1}</x:t>
  </x:si>
  <x:si>
    <x:t xml:space="preserve">FR-09-TC-040</x:t>
  </x:si>
  <x:si>
    <x:t xml:space="preserve">Hạn dùng được đánh giá nhất quán tại ranh giới ngày</x:t>
  </x:si>
  <x:si>
    <x:t xml:space="preserve">expiry-boundary</x:t>
  </x:si>
  <x:si>
    <x:t xml:space="preserve">FR-17 - 40 TEST CASES (35 AI + 5 HUMAN)</x:t>
  </x:si>
  <x:si>
    <x:t xml:space="preserve">FR-17-TC-001</x:t>
  </x:si>
  <x:si>
    <x:t xml:space="preserve">Admin lấy danh sách coupon</x:t>
  </x:si>
  <x:si>
    <x:t xml:space="preserve">GET</x:t>
  </x:si>
  <x:si>
    <x:t xml:space="preserve">/api/coupons</x:t>
  </x:si>
  <x:si>
    <x:t xml:space="preserve">admin</x:t>
  </x:si>
  <x:si>
    <x:t xml:space="preserve">""</x:t>
  </x:si>
  <x:si>
    <x:t xml:space="preserve">array-response</x:t>
  </x:si>
  <x:si>
    <x:t xml:space="preserve">FR-17-TC-002</x:t>
  </x:si>
  <x:si>
    <x:t xml:space="preserve">User thường không được xem danh sách admin</x:t>
  </x:si>
  <x:si>
    <x:t xml:space="preserve">HTTP 200; 2 assertion lỗi: expected response to have status code 403 but got 200 | expected [ …(4) ] to have property 'error'</x:t>
  </x:si>
  <x:si>
    <x:t xml:space="preserve">FR-17-TC-003</x:t>
  </x:si>
  <x:si>
    <x:t xml:space="preserve">Thiếu token không được xem danh sách</x:t>
  </x:si>
  <x:si>
    <x:t xml:space="preserve">HTTP 401; tất cả assertion đạt.</x:t>
  </x:si>
  <x:si>
    <x:t xml:space="preserve">FR-17-TC-004</x:t>
  </x:si>
  <x:si>
    <x:t xml:space="preserve">Token sai không được xem danh sách</x:t>
  </x:si>
  <x:si>
    <x:t xml:space="preserve">HTTP 403; tất cả assertion đạt.</x:t>
  </x:si>
  <x:si>
    <x:t xml:space="preserve">FR-17-TC-005</x:t>
  </x:si>
  <x:si>
    <x:t xml:space="preserve">Danh sách coupon không lộ dữ liệu ngoài schema</x:t>
  </x:si>
  <x:si>
    <x:t xml:space="preserve">coupon-list-schema</x:t>
  </x:si>
  <x:si>
    <x:t xml:space="preserve">FR-17-TC-006</x:t>
  </x:si>
  <x:si>
    <x:t xml:space="preserve">Admin tạo coupon percent hợp lệ</x:t>
  </x:si>
  <x:si>
    <x:t xml:space="preserve">/api/admin/coupons</x:t>
  </x:si>
  <x:si>
    <x:t xml:space="preserve">{"code":"NEWPCT01","type":"percent","discount_value":15,"min_order_amount":200000,"expired_at":"2099-12-31","max_uses_per_user":1}</x:t>
  </x:si>
  <x:si>
    <x:t xml:space="preserve">FR-17-TC-007</x:t>
  </x:si>
  <x:si>
    <x:t xml:space="preserve">Admin tạo coupon fixed hợp lệ</x:t>
  </x:si>
  <x:si>
    <x:t xml:space="preserve">{"code":"NEWFIX01","type":"fixed","discount_value":50000,"min_order_amount":200000,"expired_at":"2099-12-31","max_uses_per_user":2}</x:t>
  </x:si>
  <x:si>
    <x:t xml:space="preserve">FR-17-TC-008</x:t>
  </x:si>
  <x:si>
    <x:t xml:space="preserve">User thường không được tạo coupon</x:t>
  </x:si>
  <x:si>
    <x:t xml:space="preserve">{"code":"USERCREATE","type":"fixed","discount_value":1,"min_order_amount":0,"expired_at":"2099-12-31","max_uses_per_user":1}</x:t>
  </x:si>
  <x:si>
    <x:t xml:space="preserve">HTTP 200; 2 assertion lỗi: expected response to have status code 403 but got 200 | expected { message: 'Coupon created', id: 7 } to have property 'error'</x:t>
  </x:si>
  <x:si>
    <x:t xml:space="preserve">FR-17-TC-009</x:t>
  </x:si>
  <x:si>
    <x:t xml:space="preserve">Thiếu token không được tạo coupon</x:t>
  </x:si>
  <x:si>
    <x:t xml:space="preserve">{"code":"NOAUTH","type":"fixed","discount_value":1,"min_order_amount":0,"expired_at":"2099-12-31","max_uses_per_user":1}</x:t>
  </x:si>
  <x:si>
    <x:t xml:space="preserve">FR-17-TC-010</x:t>
  </x:si>
  <x:si>
    <x:t xml:space="preserve">Token sai không được tạo coupon</x:t>
  </x:si>
  <x:si>
    <x:t xml:space="preserve">{"code":"BADTOKEN","type":"fixed","discount_value":1,"min_order_amount":0,"expired_at":"2099-12-31","max_uses_per_user":1}</x:t>
  </x:si>
  <x:si>
    <x:t xml:space="preserve">FR-17-TC-011</x:t>
  </x:si>
  <x:si>
    <x:t xml:space="preserve">{"type":"fixed","discount_value":1,"min_order_amount":0,"expired_at":"2099-12-31","max_uses_per_user":1}</x:t>
  </x:si>
  <x:si>
    <x:t xml:space="preserve">HTTP 200; 2 assertion lỗi: expected response to have status code 400 but got 200 | expected { message: 'Coupon created', id: 8 } to have property 'error'</x:t>
  </x:si>
  <x:si>
    <x:t xml:space="preserve">FR-17-TC-012</x:t>
  </x:si>
  <x:si>
    <x:t xml:space="preserve">{"code":"","type":"fixed","discount_value":1,"min_order_amount":0,"expired_at":"2099-12-31","max_uses_per_user":1}</x:t>
  </x:si>
  <x:si>
    <x:t xml:space="preserve">HTTP 200; 2 assertion lỗi: expected response to have status code 400 but got 200 | expected { message: 'Coupon created', id: 9 } to have property 'error'</x:t>
  </x:si>
  <x:si>
    <x:t xml:space="preserve">FR-17-TC-013</x:t>
  </x:si>
  <x:si>
    <x:t xml:space="preserve">Code chỉ khoảng trắng</x:t>
  </x:si>
  <x:si>
    <x:t xml:space="preserve">{"code":"   ","type":"fixed","discount_value":1,"min_order_amount":0,"expired_at":"2099-12-31","max_uses_per_user":1}</x:t>
  </x:si>
  <x:si>
    <x:t xml:space="preserve">HTTP 200; 2 assertion lỗi: expected response to have status code 400 but got 200 | expected { message: 'Coupon created', id: 10 } to have property 'error'</x:t>
  </x:si>
  <x:si>
    <x:t xml:space="preserve">FR-17-TC-014</x:t>
  </x:si>
  <x:si>
    <x:t xml:space="preserve">Code trùng bị từ chối</x:t>
  </x:si>
  <x:si>
    <x:t xml:space="preserve">{"code":"DUPLICATE01","type":"fixed","discount_value":1,"min_order_amount":0,"expired_at":"2099-12-31","max_uses_per_user":1}</x:t>
  </x:si>
  <x:si>
    <x:t xml:space="preserve">HTTP 500; 1 assertion lỗi: expected response to have status code 409 but got 500</x:t>
  </x:si>
  <x:si>
    <x:t xml:space="preserve">FR-17-TC-015</x:t>
  </x:si>
  <x:si>
    <x:t xml:space="preserve">Thiếu type</x:t>
  </x:si>
  <x:si>
    <x:t xml:space="preserve">{"code":"NOTYPE","discount_value":1,"min_order_amount":0,"expired_at":"2099-12-31","max_uses_per_user":1}</x:t>
  </x:si>
  <x:si>
    <x:t xml:space="preserve">HTTP 200; 2 assertion lỗi: expected response to have status code 400 but got 200 | expected { message: 'Coupon created', id: 12 } to have property 'error'</x:t>
  </x:si>
  <x:si>
    <x:t xml:space="preserve">FR-17-TC-016</x:t>
  </x:si>
  <x:si>
    <x:t xml:space="preserve">Type ngoài percent/fixed</x:t>
  </x:si>
  <x:si>
    <x:t xml:space="preserve">{"code":"BADTYPE","type":"ratio","discount_value":1,"min_order_amount":0,"expired_at":"2099-12-31","max_uses_per_user":1}</x:t>
  </x:si>
  <x:si>
    <x:t xml:space="preserve">HTTP 200; 2 assertion lỗi: expected response to have status code 400 but got 200 | expected { message: 'Coupon created', id: 13 } to have property 'error'</x:t>
  </x:si>
  <x:si>
    <x:t xml:space="preserve">FR-17-TC-017</x:t>
  </x:si>
  <x:si>
    <x:t xml:space="preserve">Thiếu discount_value</x:t>
  </x:si>
  <x:si>
    <x:t xml:space="preserve">{"code":"NOVALUE","type":"fixed","min_order_amount":0,"expired_at":"2099-12-31","max_uses_per_user":1}</x:t>
  </x:si>
  <x:si>
    <x:t xml:space="preserve">HTTP 200; 2 assertion lỗi: expected response to have status code 400 but got 200 | expected { message: 'Coupon created', id: 14 } to have property 'error'</x:t>
  </x:si>
  <x:si>
    <x:t xml:space="preserve">FR-17-TC-018</x:t>
  </x:si>
  <x:si>
    <x:t xml:space="preserve">discount_value bằng 0 bị từ chối</x:t>
  </x:si>
  <x:si>
    <x:t xml:space="preserve">{"code":"ZEROVALUE","type":"fixed","discount_value":0,"min_order_amount":0,"expired_at":"2099-12-31","max_uses_per_user":1}</x:t>
  </x:si>
  <x:si>
    <x:t xml:space="preserve">HTTP 200; 2 assertion lỗi: expected response to have status code 400 but got 200 | expected { message: 'Coupon created', id: 15 } to have property 'error'</x:t>
  </x:si>
  <x:si>
    <x:t xml:space="preserve">FR-17-TC-019</x:t>
  </x:si>
  <x:si>
    <x:t xml:space="preserve">discount_value âm bị từ chối</x:t>
  </x:si>
  <x:si>
    <x:t xml:space="preserve">{"code":"NEGATIVE","type":"fixed","discount_value":-1,"min_order_amount":0,"expired_at":"2099-12-31","max_uses_per_user":1}</x:t>
  </x:si>
  <x:si>
    <x:t xml:space="preserve">HTTP 200; 2 assertion lỗi: expected response to have status code 400 but got 200 | expected { message: 'Coupon created', id: 16 } to have property 'error'</x:t>
  </x:si>
  <x:si>
    <x:t xml:space="preserve">FR-17-TC-020</x:t>
  </x:si>
  <x:si>
    <x:t xml:space="preserve">discount_value dạng chuỗi bị từ chối</x:t>
  </x:si>
  <x:si>
    <x:t xml:space="preserve">{"code":"STRINGVALUE","type":"fixed","discount_value":"10","min_order_amount":0,"expired_at":"2099-12-31","max_uses_per_user":1}</x:t>
  </x:si>
  <x:si>
    <x:t xml:space="preserve">HTTP 200; 2 assertion lỗi: expected response to have status code 400 but got 200 | expected { message: 'Coupon created', id: 17 } to have property 'error'</x:t>
  </x:si>
  <x:si>
    <x:t xml:space="preserve">FR-17-TC-021</x:t>
  </x:si>
  <x:si>
    <x:t xml:space="preserve">min_order_amount bằng 0 hợp lệ</x:t>
  </x:si>
  <x:si>
    <x:t xml:space="preserve">{"code":"MINZERO","type":"fixed","discount_value":1,"min_order_amount":0,"expired_at":"2099-12-31","max_uses_per_user":1}</x:t>
  </x:si>
  <x:si>
    <x:t xml:space="preserve">FR-17-TC-022</x:t>
  </x:si>
  <x:si>
    <x:t xml:space="preserve">min_order_amount âm bị từ chối</x:t>
  </x:si>
  <x:si>
    <x:t xml:space="preserve">{"code":"MINNEG","type":"fixed","discount_value":1,"min_order_amount":-1,"expired_at":"2099-12-31","max_uses_per_user":1}</x:t>
  </x:si>
  <x:si>
    <x:t xml:space="preserve">HTTP 200; 2 assertion lỗi: expected response to have status code 400 but got 200 | expected { message: 'Coupon created', id: 19 } to have property 'error'</x:t>
  </x:si>
  <x:si>
    <x:t xml:space="preserve">FR-17-TC-023</x:t>
  </x:si>
  <x:si>
    <x:t xml:space="preserve">Thiếu expired_at</x:t>
  </x:si>
  <x:si>
    <x:t xml:space="preserve">{"code":"NOEXP","type":"fixed","discount_value":1,"min_order_amount":0,"max_uses_per_user":1}</x:t>
  </x:si>
  <x:si>
    <x:t xml:space="preserve">HTTP 200; 2 assertion lỗi: expected response to have status code 400 but got 200 | expected { message: 'Coupon created', id: 20 } to have property 'error'</x:t>
  </x:si>
  <x:si>
    <x:t xml:space="preserve">FR-17-TC-024</x:t>
  </x:si>
  <x:si>
    <x:t xml:space="preserve">expired_at sai định dạng</x:t>
  </x:si>
  <x:si>
    <x:t xml:space="preserve">{"code":"BADEXP","type":"fixed","discount_value":1,"min_order_amount":0,"expired_at":"not-a-date","max_uses_per_user":1}</x:t>
  </x:si>
  <x:si>
    <x:t xml:space="preserve">HTTP 200; 2 assertion lỗi: expected response to have status code 400 but got 200 | expected { message: 'Coupon created', id: 21 } to have property 'error'</x:t>
  </x:si>
  <x:si>
    <x:t xml:space="preserve">FR-17-TC-025</x:t>
  </x:si>
  <x:si>
    <x:t xml:space="preserve">max_uses_per_user bằng 1 hợp lệ</x:t>
  </x:si>
  <x:si>
    <x:t xml:space="preserve">{"code":"MAXONE","type":"fixed","discount_value":1,"min_order_amount":0,"expired_at":"2099-12-31","max_uses_per_user":1}</x:t>
  </x:si>
  <x:si>
    <x:t xml:space="preserve">FR-17-TC-026</x:t>
  </x:si>
  <x:si>
    <x:t xml:space="preserve">max_uses_per_user bằng 0 bị từ chối</x:t>
  </x:si>
  <x:si>
    <x:t xml:space="preserve">{"code":"MAXZERO","type":"fixed","discount_value":1,"min_order_amount":0,"expired_at":"2099-12-31","max_uses_per_user":0}</x:t>
  </x:si>
  <x:si>
    <x:t xml:space="preserve">HTTP 200; 2 assertion lỗi: expected response to have status code 400 but got 200 | expected { message: 'Coupon created', id: 23 } to have property 'error'</x:t>
  </x:si>
  <x:si>
    <x:t xml:space="preserve">FR-17-TC-027</x:t>
  </x:si>
  <x:si>
    <x:t xml:space="preserve">max_uses_per_user âm bị từ chối</x:t>
  </x:si>
  <x:si>
    <x:t xml:space="preserve">{"code":"MAXNEG","type":"fixed","discount_value":1,"min_order_amount":0,"expired_at":"2099-12-31","max_uses_per_user":-1}</x:t>
  </x:si>
  <x:si>
    <x:t xml:space="preserve">HTTP 200; 2 assertion lỗi: expected response to have status code 400 but got 200 | expected { message: 'Coupon created', id: 24 } to have property 'error'</x:t>
  </x:si>
  <x:si>
    <x:t xml:space="preserve">FR-17-TC-028</x:t>
  </x:si>
  <x:si>
    <x:t xml:space="preserve">Code SQL injection được lưu như dữ liệu</x:t>
  </x:si>
  <x:si>
    <x:t xml:space="preserve">{"code":"SQL'; DROP TABLE coupons;--","type":"fixed","discount_value":1,"min_order_amount":0,"expired_at":"2099-12-31","max_uses_per_user":1}</x:t>
  </x:si>
  <x:si>
    <x:t xml:space="preserve">FR-17-TC-029</x:t>
  </x:si>
  <x:si>
    <x:t xml:space="preserve">Code XSS không được thực thi</x:t>
  </x:si>
  <x:si>
    <x:t xml:space="preserve">{"code":"&lt;script&gt;alert(1)&lt;/script&gt;","type":"fixed","discount_value":1,"min_order_amount":0,"expired_at":"2099-12-31","max_uses_per_user":1}</x:t>
  </x:si>
  <x:si>
    <x:t xml:space="preserve">FR-17-TC-030</x:t>
  </x:si>
  <x:si>
    <x:t xml:space="preserve">Admin xóa coupon tồn tại</x:t>
  </x:si>
  <x:si>
    <x:t xml:space="preserve">DELETE</x:t>
  </x:si>
  <x:si>
    <x:t xml:space="preserve">/api/admin/coupons/{{createdCouponId}}</x:t>
  </x:si>
  <x:si>
    <x:t xml:space="preserve">FR-17-TC-031</x:t>
  </x:si>
  <x:si>
    <x:t xml:space="preserve">User thường không được xóa coupon</x:t>
  </x:si>
  <x:si>
    <x:t xml:space="preserve">HTTP 200; 2 assertion lỗi: expected response to have status code 403 but got 200 | expected { message: 'Coupon deleted' } to have property 'error'</x:t>
  </x:si>
  <x:si>
    <x:t xml:space="preserve">FR-17-TC-032</x:t>
  </x:si>
  <x:si>
    <x:t xml:space="preserve">Thiếu token không được xóa coupon</x:t>
  </x:si>
  <x:si>
    <x:t xml:space="preserve">/api/admin/coupons/1</x:t>
  </x:si>
  <x:si>
    <x:t xml:space="preserve">FR-17-TC-033</x:t>
  </x:si>
  <x:si>
    <x:t xml:space="preserve">Token sai không được xóa coupon</x:t>
  </x:si>
  <x:si>
    <x:t xml:space="preserve">FR-17-TC-034</x:t>
  </x:si>
  <x:si>
    <x:t xml:space="preserve">Xóa coupon không tồn tại trả 404</x:t>
  </x:si>
  <x:si>
    <x:t xml:space="preserve">/api/admin/coupons/999999</x:t>
  </x:si>
  <x:si>
    <x:t xml:space="preserve">HTTP 200; 2 assertion lỗi: expected response to have status code 404 but got 200 | expected { message: 'Coupon deleted' } to have property 'error'</x:t>
  </x:si>
  <x:si>
    <x:t xml:space="preserve">FR-17-TC-035</x:t>
  </x:si>
  <x:si>
    <x:t xml:space="preserve">ID xóa không phải số bị từ chối</x:t>
  </x:si>
  <x:si>
    <x:t xml:space="preserve">/api/admin/coupons/not-a-number</x:t>
  </x:si>
  <x:si>
    <x:t xml:space="preserve">HTTP 200; 2 assertion lỗi: expected response to have status code 400 but got 200 | expected { message: 'Coupon deleted' } to have property 'error'</x:t>
  </x:si>
  <x:si>
    <x:t xml:space="preserve">FR-17-TC-036</x:t>
  </x:si>
  <x:si>
    <x:t xml:space="preserve">JWT user có claim role giả trong body vẫn không có quyền</x:t>
  </x:si>
  <x:si>
    <x:t xml:space="preserve">{"code":"ROLEBODY","type":"fixed","discount_value":1,"min_order_amount":0,"expired_at":"2099-12-31","max_uses_per_user":1,"role":"admin"}</x:t>
  </x:si>
  <x:si>
    <x:t xml:space="preserve">HTTP 200; 2 assertion lỗi: expected response to have status code 403 but got 200 | expected { message: 'Coupon created', id: 29 } to have property 'error'</x:t>
  </x:si>
  <x:si>
    <x:t xml:space="preserve">FR-17-TC-037</x:t>
  </x:si>
  <x:si>
    <x:t xml:space="preserve">Hai request tạo cùng code chỉ một request thành công</x:t>
  </x:si>
  <x:si>
    <x:t xml:space="preserve">{"code":"RACECODE","type":"fixed","discount_value":1,"min_order_amount":0,"expired_at":"2099-12-31","max_uses_per_user":1}</x:t>
  </x:si>
  <x:si>
    <x:t xml:space="preserve">concurrent-duplicate</x:t>
  </x:si>
  <x:si>
    <x:t xml:space="preserve">FR-17-TC-038</x:t>
  </x:si>
  <x:si>
    <x:t xml:space="preserve">Xóa coupon đã có usage không để lại trạng thái sai</x:t>
  </x:si>
  <x:si>
    <x:t xml:space="preserve">referential-integrity</x:t>
  </x:si>
  <x:si>
    <x:t xml:space="preserve">HTTP 200; 2 assertion lỗi: expected response to have status code 409 but got 200 | expected { message: 'Coupon deleted' } to have property 'error'</x:t>
  </x:si>
  <x:si>
    <x:t xml:space="preserve">FR-17-TC-039</x:t>
  </x:si>
  <x:si>
    <x:t xml:space="preserve">Code Unicode gần giống không bị đồng nhất ngoài ý muốn</x:t>
  </x:si>
  <x:si>
    <x:t xml:space="preserve">{"code":"SАVE10","type":"fixed","discount_value":1,"min_order_amount":0,"expired_at":"2099-12-31","max_uses_per_user":1}</x:t>
  </x:si>
  <x:si>
    <x:t xml:space="preserve">FR-17-TC-040</x:t>
  </x:si>
  <x:si>
    <x:t xml:space="preserve">Mass assignment is_active bị bỏ qua hoặc kiểm soát</x:t>
  </x:si>
  <x:si>
    <x:t xml:space="preserve">{"code":"MASSACTIVE","type":"fixed","discount_value":1,"min_order_amount":0,"expired_at":"2099-12-31","max_uses_per_user":1,"is_active":0}</x:t>
  </x:si>
  <x:si>
    <x:t xml:space="preserve">mass-assignment</x:t>
  </x:si>
</x:sst>
</file>

<file path=xl/styles.xml><?xml version="1.0" encoding="utf-8"?>
<x:styleSheet xmlns:x="http://schemas.openxmlformats.org/spreadsheetml/2006/main">
  <x:numFmts count="5">
    <x:numFmt numFmtId="42" formatCode="_(&quot;$&quot;* #,##0_);_(&quot;$&quot;* \(#,##0\);_(&quot;$&quot;* &quot;-&quot;_);_(@_)"/>
    <x:numFmt numFmtId="44" formatCode="_(&quot;$&quot;* #,##0.00_);_(&quot;$&quot;* \(#,##0.00\);_(&quot;$&quot;* &quot;-&quot;??_);_(@_)"/>
    <x:numFmt numFmtId="176" formatCode="_ * #,##0.00_ ;_ * \-#,##0.00_ ;_ * &quot;-&quot;??_ ;_ @_ "/>
    <x:numFmt numFmtId="177" formatCode="_ * #,##0_ ;_ * \-#,##0_ ;_ * &quot;-&quot;_ ;_ @_ "/>
    <x:numFmt numFmtId="178" formatCode="0.0%"/>
  </x:numFmts>
  <x:fonts count="27">
    <x:font>
      <x:sz val="11"/>
      <x:name val="Carlito"/>
    </x:font>
    <x:font>
      <x:b/>
      <x:sz val="14"/>
      <x:color rgb="FFFFFFFF"/>
      <x:name val="Carlito"/>
    </x:font>
    <x:font>
      <x:b/>
      <x:sz val="11"/>
      <x:color rgb="FF17365D"/>
      <x:name val="Carlito"/>
    </x:font>
    <x:font>
      <x:b/>
      <x:sz val="16"/>
      <x:color rgb="FFFFFFFF"/>
      <x:name val="Carlito"/>
    </x:font>
    <x:font>
      <x:i/>
      <x:sz val="11"/>
      <x:color rgb="FF17365D"/>
      <x:name val="Carlito"/>
    </x:font>
    <x:font>
      <x:b/>
      <x:sz val="11"/>
      <x:color rgb="FFFFFFFF"/>
      <x:name val="Carlito"/>
    </x:font>
    <x:font>
      <x:i/>
      <x:sz val="11"/>
      <x:color rgb="FF595959"/>
      <x:name val="Carlito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</x:fonts>
  <x:fills count="3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F4F7FA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21">
    <x:border/>
    <x:border>
      <x:left style="thin">
        <x:color rgb="FF9EADBA"/>
      </x:left>
      <x:top style="thin">
        <x:color rgb="FF9EADBA"/>
      </x:top>
      <x:bottom style="thin">
        <x:color rgb="FF9EADBA"/>
      </x:bottom>
    </x:border>
    <x:border>
      <x:top style="thin">
        <x:color rgb="FF9EADBA"/>
      </x:top>
      <x:bottom style="thin">
        <x:color rgb="FF9EADBA"/>
      </x:bottom>
    </x:border>
    <x:border>
      <x:right style="thin">
        <x:color rgb="FF9EADBA"/>
      </x:right>
      <x:top style="thin">
        <x:color rgb="FF9EADBA"/>
      </x:top>
      <x:bottom style="thin">
        <x:color rgb="FF9EADBA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176" fontId="7" fillId="0" borderId="0" applyFont="0" applyFill="0" applyBorder="0" applyAlignment="0" applyProtection="0">
      <x:alignment vertical="center"/>
    </x:xf>
    <x:xf numFmtId="44" fontId="7" fillId="0" borderId="0" applyFont="0" applyFill="0" applyBorder="0" applyAlignment="0" applyProtection="0">
      <x:alignment vertical="center"/>
    </x:xf>
    <x:xf numFmtId="9" fontId="7" fillId="0" borderId="0" applyFont="0" applyFill="0" applyBorder="0" applyAlignment="0" applyProtection="0">
      <x:alignment vertical="center"/>
    </x:xf>
    <x:xf numFmtId="177" fontId="7" fillId="0" borderId="0" applyFont="0" applyFill="0" applyBorder="0" applyAlignment="0" applyProtection="0">
      <x:alignment vertical="center"/>
    </x:xf>
    <x:xf numFmtId="42" fontId="7" fillId="0" borderId="0" applyFont="0" applyFill="0" applyBorder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7" fillId="8" borderId="13" applyNumberFormat="0" applyFont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0" applyNumberFormat="0" applyFill="0" applyBorder="0" applyAlignment="0" applyProtection="0">
      <x:alignment vertical="center"/>
    </x:xf>
    <x:xf numFmtId="0" fontId="12" fillId="0" borderId="0" applyNumberFormat="0" applyFill="0" applyBorder="0" applyAlignment="0" applyProtection="0">
      <x:alignment vertical="center"/>
    </x:xf>
    <x:xf numFmtId="0" fontId="13" fillId="0" borderId="14" applyNumberFormat="0" applyFill="0" applyAlignment="0" applyProtection="0">
      <x:alignment vertical="center"/>
    </x:xf>
    <x:xf numFmtId="0" fontId="14" fillId="0" borderId="14" applyNumberFormat="0" applyFill="0" applyAlignment="0" applyProtection="0">
      <x:alignment vertical="center"/>
    </x:xf>
    <x:xf numFmtId="0" fontId="15" fillId="0" borderId="15" applyNumberFormat="0" applyFill="0" applyAlignment="0" applyProtection="0">
      <x:alignment vertical="center"/>
    </x:xf>
    <x:xf numFmtId="0" fontId="15" fillId="0" borderId="0" applyNumberFormat="0" applyFill="0" applyBorder="0" applyAlignment="0" applyProtection="0">
      <x:alignment vertical="center"/>
    </x:xf>
    <x:xf numFmtId="0" fontId="16" fillId="9" borderId="16" applyNumberFormat="0" applyAlignment="0" applyProtection="0">
      <x:alignment vertical="center"/>
    </x:xf>
    <x:xf numFmtId="0" fontId="17" fillId="10" borderId="17" applyNumberFormat="0" applyAlignment="0" applyProtection="0">
      <x:alignment vertical="center"/>
    </x:xf>
    <x:xf numFmtId="0" fontId="18" fillId="10" borderId="16" applyNumberFormat="0" applyAlignment="0" applyProtection="0">
      <x:alignment vertical="center"/>
    </x:xf>
    <x:xf numFmtId="0" fontId="19" fillId="11" borderId="18" applyNumberFormat="0" applyAlignment="0" applyProtection="0">
      <x:alignment vertical="center"/>
    </x:xf>
    <x:xf numFmtId="0" fontId="20" fillId="0" borderId="19" applyNumberFormat="0" applyFill="0" applyAlignment="0" applyProtection="0">
      <x:alignment vertical="center"/>
    </x:xf>
    <x:xf numFmtId="0" fontId="21" fillId="0" borderId="20" applyNumberFormat="0" applyFill="0" applyAlignment="0" applyProtection="0">
      <x:alignment vertical="center"/>
    </x:xf>
    <x:xf numFmtId="0" fontId="22" fillId="12" borderId="0" applyNumberFormat="0" applyBorder="0" applyAlignment="0" applyProtection="0">
      <x:alignment vertical="center"/>
    </x:xf>
    <x:xf numFmtId="0" fontId="23" fillId="13" borderId="0" applyNumberFormat="0" applyBorder="0" applyAlignment="0" applyProtection="0">
      <x:alignment vertical="center"/>
    </x:xf>
    <x:xf numFmtId="0" fontId="24" fillId="14" borderId="0" applyNumberFormat="0" applyBorder="0" applyAlignment="0" applyProtection="0">
      <x:alignment vertical="center"/>
    </x:xf>
    <x:xf numFmtId="0" fontId="25" fillId="15" borderId="0" applyNumberFormat="0" applyBorder="0" applyAlignment="0" applyProtection="0">
      <x:alignment vertical="center"/>
    </x:xf>
    <x:xf numFmtId="0" fontId="26" fillId="16" borderId="0" applyNumberFormat="0" applyBorder="0" applyAlignment="0" applyProtection="0">
      <x:alignment vertical="center"/>
    </x:xf>
    <x:xf numFmtId="0" fontId="26" fillId="17" borderId="0" applyNumberFormat="0" applyBorder="0" applyAlignment="0" applyProtection="0">
      <x:alignment vertical="center"/>
    </x:xf>
    <x:xf numFmtId="0" fontId="25" fillId="18" borderId="0" applyNumberFormat="0" applyBorder="0" applyAlignment="0" applyProtection="0">
      <x:alignment vertical="center"/>
    </x:xf>
    <x:xf numFmtId="0" fontId="25" fillId="19" borderId="0" applyNumberFormat="0" applyBorder="0" applyAlignment="0" applyProtection="0">
      <x:alignment vertical="center"/>
    </x:xf>
    <x:xf numFmtId="0" fontId="26" fillId="20" borderId="0" applyNumberFormat="0" applyBorder="0" applyAlignment="0" applyProtection="0">
      <x:alignment vertical="center"/>
    </x:xf>
    <x:xf numFmtId="0" fontId="26" fillId="21" borderId="0" applyNumberFormat="0" applyBorder="0" applyAlignment="0" applyProtection="0">
      <x:alignment vertical="center"/>
    </x:xf>
    <x:xf numFmtId="0" fontId="25" fillId="22" borderId="0" applyNumberFormat="0" applyBorder="0" applyAlignment="0" applyProtection="0">
      <x:alignment vertical="center"/>
    </x:xf>
    <x:xf numFmtId="0" fontId="25" fillId="23" borderId="0" applyNumberFormat="0" applyBorder="0" applyAlignment="0" applyProtection="0">
      <x:alignment vertical="center"/>
    </x:xf>
    <x:xf numFmtId="0" fontId="26" fillId="24" borderId="0" applyNumberFormat="0" applyBorder="0" applyAlignment="0" applyProtection="0">
      <x:alignment vertical="center"/>
    </x:xf>
    <x:xf numFmtId="0" fontId="26" fillId="25" borderId="0" applyNumberFormat="0" applyBorder="0" applyAlignment="0" applyProtection="0">
      <x:alignment vertical="center"/>
    </x:xf>
    <x:xf numFmtId="0" fontId="25" fillId="26" borderId="0" applyNumberFormat="0" applyBorder="0" applyAlignment="0" applyProtection="0">
      <x:alignment vertical="center"/>
    </x:xf>
    <x:xf numFmtId="0" fontId="25" fillId="27" borderId="0" applyNumberFormat="0" applyBorder="0" applyAlignment="0" applyProtection="0">
      <x:alignment vertical="center"/>
    </x:xf>
    <x:xf numFmtId="0" fontId="26" fillId="28" borderId="0" applyNumberFormat="0" applyBorder="0" applyAlignment="0" applyProtection="0">
      <x:alignment vertical="center"/>
    </x:xf>
    <x:xf numFmtId="0" fontId="26" fillId="29" borderId="0" applyNumberFormat="0" applyBorder="0" applyAlignment="0" applyProtection="0">
      <x:alignment vertical="center"/>
    </x:xf>
    <x:xf numFmtId="0" fontId="25" fillId="30" borderId="0" applyNumberFormat="0" applyBorder="0" applyAlignment="0" applyProtection="0">
      <x:alignment vertical="center"/>
    </x:xf>
    <x:xf numFmtId="0" fontId="25" fillId="31" borderId="0" applyNumberFormat="0" applyBorder="0" applyAlignment="0" applyProtection="0">
      <x:alignment vertical="center"/>
    </x:xf>
    <x:xf numFmtId="0" fontId="26" fillId="32" borderId="0" applyNumberFormat="0" applyBorder="0" applyAlignment="0" applyProtection="0">
      <x:alignment vertical="center"/>
    </x:xf>
    <x:xf numFmtId="0" fontId="26" fillId="33" borderId="0" applyNumberFormat="0" applyBorder="0" applyAlignment="0" applyProtection="0">
      <x:alignment vertical="center"/>
    </x:xf>
    <x:xf numFmtId="0" fontId="25" fillId="34" borderId="0" applyNumberFormat="0" applyBorder="0" applyAlignment="0" applyProtection="0">
      <x:alignment vertical="center"/>
    </x:xf>
    <x:xf numFmtId="0" fontId="25" fillId="35" borderId="0" applyNumberFormat="0" applyBorder="0" applyAlignment="0" applyProtection="0">
      <x:alignment vertical="center"/>
    </x:xf>
    <x:xf numFmtId="0" fontId="26" fillId="36" borderId="0" applyNumberFormat="0" applyBorder="0" applyAlignment="0" applyProtection="0">
      <x:alignment vertical="center"/>
    </x:xf>
    <x:xf numFmtId="0" fontId="26" fillId="37" borderId="0" applyNumberFormat="0" applyBorder="0" applyAlignment="0" applyProtection="0">
      <x:alignment vertical="center"/>
    </x:xf>
    <x:xf numFmtId="0" fontId="25" fillId="38" borderId="0" applyNumberFormat="0" applyBorder="0" applyAlignment="0" applyProtection="0">
      <x:alignment vertical="center"/>
    </x:xf>
  </x:cellStyleXfs>
  <x:cellXfs count="35">
    <x:xf numFmtId="0" fontId="0" fillId="0" borderId="0" xfId="0"/>
    <x:xf numFmtId="0" fontId="1" fillId="2" borderId="0" xfId="0" applyNumberFormat="1" applyFont="1" applyFill="1" applyBorder="1" applyAlignment="1">
      <x:alignment horizontal="center" vertical="center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top" wrapText="1"/>
    </x:xf>
    <x:xf numFmtId="1" fontId="0" fillId="0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horizontal="center" vertical="center"/>
    </x:xf>
    <x:xf numFmtId="0" fontId="4" fillId="3" borderId="0" xfId="0" applyNumberFormat="1" applyFont="1" applyFill="1" applyBorder="1" applyAlignment="1">
      <x:alignment horizontal="center"/>
    </x:xf>
    <x:xf numFmtId="0" fontId="5" fillId="2" borderId="0" xfId="0" applyNumberFormat="1" applyFont="1" applyFill="1" applyBorder="1" applyAlignment="1">
      <x:alignment horizontal="center"/>
    </x:xf>
    <x:xf numFmtId="0" fontId="0" fillId="0" borderId="4" xfId="0" applyNumberFormat="1" applyFont="1" applyFill="1" applyBorder="1"/>
    <x:xf numFmtId="1" fontId="0" fillId="0" borderId="5" xfId="0" applyNumberFormat="1" applyFont="1" applyFill="1" applyBorder="1"/>
    <x:xf numFmtId="178" fontId="0" fillId="0" borderId="5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1" fontId="0" fillId="0" borderId="8" xfId="0" applyNumberFormat="1" applyFont="1" applyFill="1" applyBorder="1"/>
    <x:xf numFmtId="178" fontId="0" fillId="0" borderId="8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2" fillId="3" borderId="10" xfId="0" applyNumberFormat="1" applyFont="1" applyFill="1" applyBorder="1"/>
    <x:xf numFmtId="1" fontId="2" fillId="3" borderId="11" xfId="0" applyNumberFormat="1" applyFont="1" applyFill="1" applyBorder="1"/>
    <x:xf numFmtId="178" fontId="2" fillId="3" borderId="11" xfId="0" applyNumberFormat="1" applyFont="1" applyFill="1" applyBorder="1"/>
    <x:xf numFmtId="0" fontId="2" fillId="3" borderId="11" xfId="0" applyNumberFormat="1" applyFont="1" applyFill="1" applyBorder="1"/>
    <x:xf numFmtId="0" fontId="2" fillId="3" borderId="12" xfId="0" applyNumberFormat="1" applyFont="1" applyFill="1" applyBorder="1"/>
    <x:xf numFmtId="0" fontId="0" fillId="4" borderId="4" xfId="0" applyNumberFormat="1" applyFont="1" applyFill="1" applyBorder="1"/>
    <x:xf numFmtId="0" fontId="0" fillId="4" borderId="5" xfId="0" applyNumberFormat="1" applyFont="1" applyFill="1" applyBorder="1"/>
    <x:xf numFmtId="0" fontId="0" fillId="4" borderId="6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9" xfId="0" applyNumberFormat="1" applyFont="1" applyFill="1" applyBorder="1"/>
    <x:xf numFmtId="0" fontId="0" fillId="6" borderId="10" xfId="0" applyNumberFormat="1" applyFont="1" applyFill="1" applyBorder="1"/>
    <x:xf numFmtId="0" fontId="0" fillId="6" borderId="11" xfId="0" applyNumberFormat="1" applyFont="1" applyFill="1" applyBorder="1"/>
    <x:xf numFmtId="0" fontId="0" fillId="6" borderId="12" xfId="0" applyNumberFormat="1" applyFont="1" applyFill="1" applyBorder="1"/>
    <x:xf numFmtId="0" fontId="6" fillId="7" borderId="0" xfId="0" applyNumberFormat="1" applyFont="1" applyFill="1" applyBorder="1" applyAlignment="1">
      <x:alignment wrapText="1"/>
    </x:xf>
  </x:cellXfs>
  <x:cellStyles count="49">
    <x:cellStyle name="Normal" xfId="0"/>
    <x:cellStyle name="Comma" xfId="1"/>
    <x:cellStyle name="Currency" xfId="2"/>
    <x:cellStyle name="Percent" xfId="3"/>
    <x:cellStyle name="Comma [0]" xfId="4"/>
    <x:cellStyle name="Currency [0]" xfId="5"/>
    <x:cellStyle name="Link" xfId="6"/>
    <x:cellStyle name="Followed Hyperlink" xfId="7"/>
    <x:cellStyle name="Note" xfId="8"/>
    <x:cellStyle name="Warning Text" xfId="9"/>
    <x:cellStyle name="Title" xfId="10"/>
    <x:cellStyle name="Explanatory Text" xfId="11"/>
    <x:cellStyle name="Heading 1" xfId="12"/>
    <x:cellStyle name="Heading 2" xfId="13"/>
    <x:cellStyle name="Heading 3" xfId="14"/>
    <x:cellStyle name="Heading 4" xfId="15"/>
    <x:cellStyle name="Input" xfId="16"/>
    <x:cellStyle name="Output" xfId="17"/>
    <x:cellStyle name="Calculation" xfId="18"/>
    <x:cellStyle name="Check Cell" xfId="19"/>
    <x:cellStyle name="Linked Cell" xfId="20"/>
    <x:cellStyle name="Total" xfId="21"/>
    <x:cellStyle name="Good" xfId="22"/>
    <x:cellStyle name="Bad" xfId="23"/>
    <x:cellStyle name="Neutral" xfId="24"/>
    <x:cellStyle name="Accent1" xfId="25"/>
    <x:cellStyle name="20% - Accent1" xfId="26"/>
    <x:cellStyle name="40% - Accent1" xfId="27"/>
    <x:cellStyle name="60% - Accent1" xfId="28"/>
    <x:cellStyle name="Accent2" xfId="29"/>
    <x:cellStyle name="20% - Accent2" xfId="30"/>
    <x:cellStyle name="40% - Accent2" xfId="31"/>
    <x:cellStyle name="60% - Accent2" xfId="32"/>
    <x:cellStyle name="Accent3" xfId="33"/>
    <x:cellStyle name="20% - Accent3" xfId="34"/>
    <x:cellStyle name="40% - Accent3" xfId="35"/>
    <x:cellStyle name="60% - Accent3" xfId="36"/>
    <x:cellStyle name="Accent4" xfId="37"/>
    <x:cellStyle name="20% - Accent4" xfId="38"/>
    <x:cellStyle name="40% - Accent4" xfId="39"/>
    <x:cellStyle name="60% - Accent4" xfId="40"/>
    <x:cellStyle name="Accent5" xfId="41"/>
    <x:cellStyle name="20% - Accent5" xfId="42"/>
    <x:cellStyle name="40% - Accent5" xfId="43"/>
    <x:cellStyle name="60% - Accent5" xfId="44"/>
    <x:cellStyle name="Accent6" xfId="45"/>
    <x:cellStyle name="20% - Accent6" xfId="46"/>
    <x:cellStyle name="40% - Accent6" xfId="47"/>
    <x:cellStyle name="60% - Accent6" xfId="48"/>
  </x:cellStyles>
  <x:dxfs count="21">
    <x:dxf>
      <x:fill>
        <x:patternFill>
          <x:bgColor rgb="FFFFF2CC"/>
        </x:patternFill>
      </x:fill>
    </x:dxf>
    <x:dxf>
      <x:fill>
        <x:patternFill>
          <x:bgColor rgb="FFFCE4D6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4e31afc081045ff" /><Relationship Type="http://schemas.openxmlformats.org/officeDocument/2006/relationships/theme" Target="/xl/theme/theme1.xml" Id="R6d3e1794d1db4e37" /><Relationship Type="http://schemas.openxmlformats.org/officeDocument/2006/relationships/sharedStrings" Target="/xl/sharedStrings.xml" Id="Rccabc94199b845c7" /><Relationship Type="http://schemas.openxmlformats.org/officeDocument/2006/relationships/worksheet" Target="/xl/worksheets/sheet1.xml" Id="R7205664bdd2a4ec1" /><Relationship Type="http://schemas.openxmlformats.org/officeDocument/2006/relationships/worksheet" Target="/xl/worksheets/sheet2.xml" Id="R89d76af4ea004d0e" /><Relationship Type="http://schemas.openxmlformats.org/officeDocument/2006/relationships/worksheet" Target="/xl/worksheets/sheet3.xml" Id="Rad6d7f74fc5e4c3c" /><Relationship Type="http://schemas.openxmlformats.org/officeDocument/2006/relationships/worksheet" Target="/xl/worksheets/sheet4.xml" Id="R5a4cef1eb4b247d1" /></Relationships>
</file>

<file path=xl/tables/table1.xml><?xml version="1.0" encoding="utf-8"?>
<x:table xmlns:x="http://schemas.openxmlformats.org/spreadsheetml/2006/main" id="1" name="FR03CasesTable" displayName="FR03CasesTable" ref="A2:Q42" totalsRowShown="0">
  <x:tableColumns count="17">
    <x:tableColumn id="1" name="ID"/>
    <x:tableColumn id="2" name="Nguồn"/>
    <x:tableColumn id="3" name="Loại"/>
    <x:tableColumn id="4" name="Tên ca kiểm thử"/>
    <x:tableColumn id="5" name="Method"/>
    <x:tableColumn id="6" name="Endpoint"/>
    <x:tableColumn id="7" name="Auth"/>
    <x:tableColumn id="8" name="Tiền điều kiện"/>
    <x:tableColumn id="9" name="Dữ liệu đầu vào"/>
    <x:tableColumn id="10" name="HTTP mong đợi"/>
    <x:tableColumn id="11" name="Oracle"/>
    <x:tableColumn id="12" name="SEC"/>
    <x:tableColumn id="13" name="Audit"/>
    <x:tableColumn id="14" name="Lý do / Correction"/>
    <x:tableColumn id="15" name="Kết quả thực tế"/>
    <x:tableColumn id="16" name="Trạng thái"/>
    <x:tableColumn id="17" name="Bug I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R09CasesTable" displayName="FR09CasesTable" ref="A2:Q42" totalsRowShown="0">
  <x:tableColumns count="17">
    <x:tableColumn id="1" name="ID"/>
    <x:tableColumn id="2" name="Nguồn"/>
    <x:tableColumn id="3" name="Loại"/>
    <x:tableColumn id="4" name="Tên ca kiểm thử"/>
    <x:tableColumn id="5" name="Method"/>
    <x:tableColumn id="6" name="Endpoint"/>
    <x:tableColumn id="7" name="Auth"/>
    <x:tableColumn id="8" name="Tiền điều kiện"/>
    <x:tableColumn id="9" name="Dữ liệu đầu vào"/>
    <x:tableColumn id="10" name="HTTP mong đợi"/>
    <x:tableColumn id="11" name="Oracle"/>
    <x:tableColumn id="12" name="SEC"/>
    <x:tableColumn id="13" name="Audit"/>
    <x:tableColumn id="14" name="Lý do / Correction"/>
    <x:tableColumn id="15" name="Kết quả thực tế"/>
    <x:tableColumn id="16" name="Trạng thái"/>
    <x:tableColumn id="17" name="Bug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FR17CasesTable" displayName="FR17CasesTable" ref="A2:Q42" totalsRowShown="0">
  <x:tableColumns count="17">
    <x:tableColumn id="1" name="ID"/>
    <x:tableColumn id="2" name="Nguồn"/>
    <x:tableColumn id="3" name="Loại"/>
    <x:tableColumn id="4" name="Tên ca kiểm thử"/>
    <x:tableColumn id="5" name="Method"/>
    <x:tableColumn id="6" name="Endpoint"/>
    <x:tableColumn id="7" name="Auth"/>
    <x:tableColumn id="8" name="Tiền điều kiện"/>
    <x:tableColumn id="9" name="Dữ liệu đầu vào"/>
    <x:tableColumn id="10" name="HTTP mong đợi"/>
    <x:tableColumn id="11" name="Oracle"/>
    <x:tableColumn id="12" name="SEC"/>
    <x:tableColumn id="13" name="Audit"/>
    <x:tableColumn id="14" name="Lý do / Correction"/>
    <x:tableColumn id="15" name="Kết quả thực tế"/>
    <x:tableColumn id="16" name="Trạng thái"/>
    <x:tableColumn id="17" name="Bug I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b15b85a1cfe42b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a5a8899c3b242d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4d7f3b0c3ea478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3.800000190734863"/>
  <x:cols>
    <x:col min="1" max="1" width="18" customWidth="1"/>
    <x:col min="2" max="7" width="15" customWidth="1"/>
  </x:cols>
  <x:sheetData>
    <x:row r="1" ht="30" customHeight="1">
      <x:c r="A1" s="7" t="s">
        <x:v>0</x:v>
      </x:c>
      <x:c r="B1" s="7"/>
      <x:c r="C1" s="7"/>
      <x:c r="D1" s="7"/>
      <x:c r="E1" s="7"/>
      <x:c r="F1" s="7"/>
      <x:c r="G1" s="7"/>
    </x:row>
    <x:row r="2">
      <x:c r="A2" s="8" t="s">
        <x:v>1</x:v>
      </x:c>
      <x:c r="B2" s="8"/>
      <x:c r="C2" s="8"/>
      <x:c r="D2" s="8"/>
      <x:c r="E2" s="8"/>
      <x:c r="F2" s="8"/>
      <x:c r="G2" s="8"/>
    </x:row>
    <x:row r="4">
      <x:c r="A4" s="9" t="s">
        <x:v>2</x:v>
      </x:c>
      <x:c r="B4" s="9" t="s">
        <x:v>3</x:v>
      </x:c>
      <x:c r="C4" s="9" t="s">
        <x:v>4</x:v>
      </x:c>
      <x:c r="D4" s="9" t="s">
        <x:v>5</x:v>
      </x:c>
      <x:c r="E4" s="9" t="s">
        <x:v>6</x:v>
      </x:c>
      <x:c r="F4" s="9" t="s">
        <x:v>7</x:v>
      </x:c>
      <x:c r="G4" s="9" t="s">
        <x:v>8</x:v>
      </x:c>
    </x:row>
    <x:row r="5">
      <x:c r="A5" s="10" t="s">
        <x:v>9</x:v>
      </x:c>
      <x:c r="B5" s="11" t="n">
        <x:f>COUNTA('FR-03'!A3:A42)</x:f>
        <x:v>40</x:v>
      </x:c>
      <x:c r="C5" s="11" t="n">
        <x:f>COUNTIF('FR-03'!P3:P42,"PASS")</x:f>
        <x:v>22</x:v>
      </x:c>
      <x:c r="D5" s="11" t="n">
        <x:f>COUNTIF('FR-03'!P3:P42,"FAIL")</x:f>
        <x:v>18</x:v>
      </x:c>
      <x:c r="E5" s="12" t="n">
        <x:f>IF(B5=0,0,C5/B5)</x:f>
        <x:v>0.55</x:v>
      </x:c>
      <x:c r="F5" s="13" t="n">
        <x:f>COUNTIF('FR-03'!B3:B42,"AI")</x:f>
        <x:v>35</x:v>
      </x:c>
      <x:c r="G5" s="14" t="n">
        <x:f>COUNTIF('FR-03'!B3:B42,"HUMAN")</x:f>
        <x:v>5</x:v>
      </x:c>
    </x:row>
    <x:row r="6">
      <x:c r="A6" s="15" t="s">
        <x:v>10</x:v>
      </x:c>
      <x:c r="B6" s="16" t="n">
        <x:f>COUNTA('FR-09'!A3:A42)</x:f>
        <x:v>40</x:v>
      </x:c>
      <x:c r="C6" s="16" t="n">
        <x:f>COUNTIF('FR-09'!P3:P42,"PASS")</x:f>
        <x:v>29</x:v>
      </x:c>
      <x:c r="D6" s="16" t="n">
        <x:f>COUNTIF('FR-09'!P3:P42,"FAIL")</x:f>
        <x:v>11</x:v>
      </x:c>
      <x:c r="E6" s="17" t="n">
        <x:f>IF(B6=0,0,C6/B6)</x:f>
        <x:v>0.725</x:v>
      </x:c>
      <x:c r="F6" s="18" t="n">
        <x:f>COUNTIF('FR-09'!B3:B42,"AI")</x:f>
        <x:v>35</x:v>
      </x:c>
      <x:c r="G6" s="19" t="n">
        <x:f>COUNTIF('FR-09'!B3:B42,"HUMAN")</x:f>
        <x:v>5</x:v>
      </x:c>
    </x:row>
    <x:row r="7">
      <x:c r="A7" s="15" t="s">
        <x:v>11</x:v>
      </x:c>
      <x:c r="B7" s="16" t="n">
        <x:f>COUNTA('FR-17'!A3:A42)</x:f>
        <x:v>40</x:v>
      </x:c>
      <x:c r="C7" s="16" t="n">
        <x:f>COUNTIF('FR-17'!P3:P42,"PASS")</x:f>
        <x:v>17</x:v>
      </x:c>
      <x:c r="D7" s="16" t="n">
        <x:f>COUNTIF('FR-17'!P3:P42,"FAIL")</x:f>
        <x:v>23</x:v>
      </x:c>
      <x:c r="E7" s="17" t="n">
        <x:f>IF(B7=0,0,C7/B7)</x:f>
        <x:v>0.425</x:v>
      </x:c>
      <x:c r="F7" s="18" t="n">
        <x:f>COUNTIF('FR-17'!B3:B42,"AI")</x:f>
        <x:v>35</x:v>
      </x:c>
      <x:c r="G7" s="19" t="n">
        <x:f>COUNTIF('FR-17'!B3:B42,"HUMAN")</x:f>
        <x:v>5</x:v>
      </x:c>
    </x:row>
    <x:row r="8">
      <x:c r="A8" s="20" t="s">
        <x:v>12</x:v>
      </x:c>
      <x:c r="B8" s="21" t="n">
        <x:f>SUM(B5:B7)</x:f>
        <x:v>120</x:v>
      </x:c>
      <x:c r="C8" s="21" t="n">
        <x:f>SUM(C5:C7)</x:f>
        <x:v>68</x:v>
      </x:c>
      <x:c r="D8" s="21" t="n">
        <x:f>SUM(D5:D7)</x:f>
        <x:v>52</x:v>
      </x:c>
      <x:c r="E8" s="22" t="n">
        <x:f>IF(B8=0,0,C8/B8)</x:f>
        <x:v>0.5666666666666667</x:v>
      </x:c>
      <x:c r="F8" s="23" t="n">
        <x:f>SUM(F5:F7)</x:f>
        <x:v>105</x:v>
      </x:c>
      <x:c r="G8" s="24" t="n">
        <x:f>SUM(G5:G7)</x:f>
        <x:v>15</x:v>
      </x:c>
    </x:row>
    <x:row r="10">
      <x:c r="A10" s="9" t="s">
        <x:v>13</x:v>
      </x:c>
      <x:c r="B10" s="9" t="s">
        <x:v>9</x:v>
      </x:c>
      <x:c r="C10" s="9" t="s">
        <x:v>10</x:v>
      </x:c>
      <x:c r="D10" s="9" t="s">
        <x:v>11</x:v>
      </x:c>
    </x:row>
    <x:row r="11">
      <x:c r="A11" s="25" t="s">
        <x:v>14</x:v>
      </x:c>
      <x:c r="B11" s="26" t="n">
        <x:f>COUNTIF('FR-03'!M3:M42,"VALID")</x:f>
        <x:v>27</x:v>
      </x:c>
      <x:c r="C11" s="26" t="n">
        <x:f>COUNTIF('FR-09'!M3:M42,"VALID")</x:f>
        <x:v>27</x:v>
      </x:c>
      <x:c r="D11" s="27" t="n">
        <x:f>COUNTIF('FR-17'!M3:M42,"VALID")</x:f>
        <x:v>27</x:v>
      </x:c>
    </x:row>
    <x:row r="12">
      <x:c r="A12" s="28" t="s">
        <x:v>15</x:v>
      </x:c>
      <x:c r="B12" s="29" t="n">
        <x:f>COUNTIF('FR-03'!M3:M42,"INVALID")</x:f>
        <x:v>3</x:v>
      </x:c>
      <x:c r="C12" s="29" t="n">
        <x:f>COUNTIF('FR-09'!M3:M42,"INVALID")</x:f>
        <x:v>3</x:v>
      </x:c>
      <x:c r="D12" s="30" t="n">
        <x:f>COUNTIF('FR-17'!M3:M42,"INVALID")</x:f>
        <x:v>3</x:v>
      </x:c>
    </x:row>
    <x:row r="13">
      <x:c r="A13" s="31" t="s">
        <x:v>16</x:v>
      </x:c>
      <x:c r="B13" s="32" t="n">
        <x:f>COUNTIF('FR-03'!M3:M42,"INCOMPLETE")</x:f>
        <x:v>5</x:v>
      </x:c>
      <x:c r="C13" s="32" t="n">
        <x:f>COUNTIF('FR-09'!M3:M42,"INCOMPLETE")</x:f>
        <x:v>5</x:v>
      </x:c>
      <x:c r="D13" s="33" t="n">
        <x:f>COUNTIF('FR-17'!M3:M42,"INCOMPLETE")</x:f>
        <x:v>5</x:v>
      </x:c>
    </x:row>
    <x:row r="15">
      <x:c r="A15" s="34" t="s">
        <x:v>17</x:v>
      </x:c>
      <x:c r="B15" s="34"/>
      <x:c r="C15" s="34"/>
      <x:c r="D15" s="34"/>
      <x:c r="E15" s="34"/>
      <x:c r="F15" s="34"/>
      <x:c r="G15" s="34"/>
    </x:row>
  </x:sheetData>
  <x:mergeCells>
    <x:mergeCell ref="A1:G1"/>
    <x:mergeCell ref="A2:G2"/>
    <x:mergeCell ref="A15:G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9" defaultRowHeight="13.800000190734863"/>
  <x:cols>
    <x:col min="1" max="1" width="17" customWidth="1"/>
    <x:col min="2" max="3" width="12" customWidth="1"/>
    <x:col min="4" max="4" width="35" customWidth="1"/>
    <x:col min="5" max="5" width="10" customWidth="1"/>
    <x:col min="6" max="6" width="34" customWidth="1"/>
    <x:col min="7" max="7" width="10" customWidth="1"/>
    <x:col min="8" max="9" width="36" customWidth="1"/>
    <x:col min="10" max="13" width="15" customWidth="1"/>
    <x:col min="14" max="15" width="48" customWidth="1"/>
    <x:col min="16" max="17" width="16" customWidth="1"/>
  </x:cols>
  <x:sheetData>
    <x:row r="1" ht="17.399999618530273">
      <x:c r="A1" s="1" t="s">
        <x:v>18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</x:row>
    <x:row r="2">
      <x:c r="A2" s="2" t="s">
        <x:v>19</x:v>
      </x:c>
      <x:c r="B2" s="3" t="s">
        <x:v>20</x:v>
      </x:c>
      <x:c r="C2" s="3" t="s">
        <x:v>21</x:v>
      </x:c>
      <x:c r="D2" s="3" t="s">
        <x:v>22</x:v>
      </x:c>
      <x:c r="E2" s="3" t="s">
        <x:v>23</x:v>
      </x:c>
      <x:c r="F2" s="3" t="s">
        <x:v>24</x:v>
      </x:c>
      <x:c r="G2" s="3" t="s">
        <x:v>25</x:v>
      </x:c>
      <x:c r="H2" s="3" t="s">
        <x:v>26</x:v>
      </x:c>
      <x:c r="I2" s="3" t="s">
        <x:v>27</x:v>
      </x:c>
      <x:c r="J2" s="3" t="s">
        <x:v>28</x:v>
      </x:c>
      <x:c r="K2" s="3" t="s">
        <x:v>29</x:v>
      </x:c>
      <x:c r="L2" s="3" t="s">
        <x:v>30</x:v>
      </x:c>
      <x:c r="M2" s="3" t="s">
        <x:v>31</x:v>
      </x:c>
      <x:c r="N2" s="3" t="s">
        <x:v>32</x:v>
      </x:c>
      <x:c r="O2" s="3" t="s">
        <x:v>33</x:v>
      </x:c>
      <x:c r="P2" s="3" t="s">
        <x:v>34</x:v>
      </x:c>
      <x:c r="Q2" s="4" t="s">
        <x:v>35</x:v>
      </x:c>
    </x:row>
    <x:row r="3" ht="27.600000381469727">
      <x:c r="A3" s="5" t="s">
        <x:v>36</x:v>
      </x:c>
      <x:c r="B3" s="5" t="s">
        <x:v>7</x:v>
      </x:c>
      <x:c r="C3" s="5" t="s">
        <x:v>37</x:v>
      </x:c>
      <x:c r="D3" s="5" t="s">
        <x:v>38</x:v>
      </x:c>
      <x:c r="E3" s="5" t="s">
        <x:v>39</x:v>
      </x:c>
      <x:c r="F3" s="5" t="s">
        <x:v>40</x:v>
      </x:c>
      <x:c r="G3" s="5" t="s">
        <x:v>41</x:v>
      </x:c>
      <x:c r="H3" s="5" t="s">
        <x:v>42</x:v>
      </x:c>
      <x:c r="I3" s="5" t="s">
        <x:v>43</x:v>
      </x:c>
      <x:c r="J3" s="6">
        <x:v>200</x:v>
      </x:c>
      <x:c r="K3" s="5" t="s">
        <x:v>44</x:v>
      </x:c>
      <x:c r="L3" s="5" t="str">
        <x:v>-</x:v>
      </x:c>
      <x:c r="M3" s="5" t="s">
        <x:v>14</x:v>
      </x:c>
      <x:c r="N3" s="5" t="str">
        <x:v>Ca kiểm thử bám đúng đặc tả, có dữ liệu và oracle kiểm tra được. Không cần chỉnh sửa.</x:v>
      </x:c>
      <x:c r="O3" s="5" t="s">
        <x:v>45</x:v>
      </x:c>
      <x:c r="P3" s="5" t="s">
        <x:v>46</x:v>
      </x:c>
      <x:c r="Q3" s="5" t="str">
        <x:v>BUG-FR03-01</x:v>
      </x:c>
    </x:row>
    <x:row r="4" ht="27.600000381469727">
      <x:c r="A4" s="5" t="s">
        <x:v>47</x:v>
      </x:c>
      <x:c r="B4" s="5" t="s">
        <x:v>7</x:v>
      </x:c>
      <x:c r="C4" s="5" t="s">
        <x:v>37</x:v>
      </x:c>
      <x:c r="D4" s="5" t="s">
        <x:v>48</x:v>
      </x:c>
      <x:c r="E4" s="5" t="s">
        <x:v>39</x:v>
      </x:c>
      <x:c r="F4" s="5" t="s">
        <x:v>40</x:v>
      </x:c>
      <x:c r="G4" s="5" t="s">
        <x:v>41</x:v>
      </x:c>
      <x:c r="H4" s="5" t="s">
        <x:v>42</x:v>
      </x:c>
      <x:c r="I4" s="5" t="s">
        <x:v>49</x:v>
      </x:c>
      <x:c r="J4" s="6">
        <x:v>200</x:v>
      </x:c>
      <x:c r="K4" s="5" t="s">
        <x:v>44</x:v>
      </x:c>
      <x:c r="L4" s="5" t="str">
        <x:v>-</x:v>
      </x:c>
      <x:c r="M4" s="5" t="s">
        <x:v>14</x:v>
      </x:c>
      <x:c r="N4" s="5" t="str">
        <x:v>Ca kiểm thử bám đúng đặc tả, có dữ liệu và oracle kiểm tra được. Không cần chỉnh sửa.</x:v>
      </x:c>
      <x:c r="O4" s="5" t="s">
        <x:v>50</x:v>
      </x:c>
      <x:c r="P4" s="5" t="s">
        <x:v>46</x:v>
      </x:c>
      <x:c r="Q4" s="5" t="str">
        <x:v>BUG-FR03-01</x:v>
      </x:c>
    </x:row>
    <x:row r="5" ht="27.600000381469727">
      <x:c r="A5" s="5" t="s">
        <x:v>51</x:v>
      </x:c>
      <x:c r="B5" s="5" t="s">
        <x:v>7</x:v>
      </x:c>
      <x:c r="C5" s="5" t="s">
        <x:v>37</x:v>
      </x:c>
      <x:c r="D5" s="5" t="s">
        <x:v>52</x:v>
      </x:c>
      <x:c r="E5" s="5" t="s">
        <x:v>39</x:v>
      </x:c>
      <x:c r="F5" s="5" t="s">
        <x:v>40</x:v>
      </x:c>
      <x:c r="G5" s="5" t="s">
        <x:v>41</x:v>
      </x:c>
      <x:c r="H5" s="5" t="s">
        <x:v>42</x:v>
      </x:c>
      <x:c r="I5" s="5" t="s">
        <x:v>53</x:v>
      </x:c>
      <x:c r="J5" s="6">
        <x:v>404</x:v>
      </x:c>
      <x:c r="K5" s="5" t="s">
        <x:v>54</x:v>
      </x:c>
      <x:c r="L5" s="5" t="str">
        <x:v>-</x:v>
      </x:c>
      <x:c r="M5" s="5" t="s">
        <x:v>14</x:v>
      </x:c>
      <x:c r="N5" s="5" t="str">
        <x:v>Ca kiểm thử bám đúng đặc tả, có dữ liệu và oracle kiểm tra được. Không cần chỉnh sửa.</x:v>
      </x:c>
      <x:c r="O5" s="5" t="s">
        <x:v>55</x:v>
      </x:c>
      <x:c r="P5" s="5" t="s">
        <x:v>56</x:v>
      </x:c>
      <x:c r="Q5" s="5" t="str">
        <x:v>-</x:v>
      </x:c>
    </x:row>
    <x:row r="6" ht="27.600000381469727">
      <x:c r="A6" s="5" t="s">
        <x:v>57</x:v>
      </x:c>
      <x:c r="B6" s="5" t="s">
        <x:v>7</x:v>
      </x:c>
      <x:c r="C6" s="5" t="s">
        <x:v>58</x:v>
      </x:c>
      <x:c r="D6" s="5" t="s">
        <x:v>59</x:v>
      </x:c>
      <x:c r="E6" s="5" t="s">
        <x:v>39</x:v>
      </x:c>
      <x:c r="F6" s="5" t="s">
        <x:v>40</x:v>
      </x:c>
      <x:c r="G6" s="5" t="s">
        <x:v>41</x:v>
      </x:c>
      <x:c r="H6" s="5" t="s">
        <x:v>42</x:v>
      </x:c>
      <x:c r="I6" s="5" t="s">
        <x:v>60</x:v>
      </x:c>
      <x:c r="J6" s="6">
        <x:v>400</x:v>
      </x:c>
      <x:c r="K6" s="5" t="s">
        <x:v>54</x:v>
      </x:c>
      <x:c r="L6" s="5" t="str">
        <x:v>-</x:v>
      </x:c>
      <x:c r="M6" s="5" t="s">
        <x:v>14</x:v>
      </x:c>
      <x:c r="N6" s="5" t="str">
        <x:v>Ca kiểm thử bám đúng đặc tả, có dữ liệu và oracle kiểm tra được. Không cần chỉnh sửa.</x:v>
      </x:c>
      <x:c r="O6" s="5" t="s">
        <x:v>61</x:v>
      </x:c>
      <x:c r="P6" s="5" t="s">
        <x:v>46</x:v>
      </x:c>
      <x:c r="Q6" s="5" t="str">
        <x:v>BUG-FR03-02</x:v>
      </x:c>
    </x:row>
    <x:row r="7" ht="27.600000381469727">
      <x:c r="A7" s="5" t="s">
        <x:v>62</x:v>
      </x:c>
      <x:c r="B7" s="5" t="s">
        <x:v>7</x:v>
      </x:c>
      <x:c r="C7" s="5" t="s">
        <x:v>58</x:v>
      </x:c>
      <x:c r="D7" s="5" t="s">
        <x:v>63</x:v>
      </x:c>
      <x:c r="E7" s="5" t="s">
        <x:v>39</x:v>
      </x:c>
      <x:c r="F7" s="5" t="s">
        <x:v>40</x:v>
      </x:c>
      <x:c r="G7" s="5" t="s">
        <x:v>41</x:v>
      </x:c>
      <x:c r="H7" s="5" t="s">
        <x:v>42</x:v>
      </x:c>
      <x:c r="I7" s="5" t="s">
        <x:v>64</x:v>
      </x:c>
      <x:c r="J7" s="6">
        <x:v>400</x:v>
      </x:c>
      <x:c r="K7" s="5" t="s">
        <x:v>54</x:v>
      </x:c>
      <x:c r="L7" s="5" t="str">
        <x:v>-</x:v>
      </x:c>
      <x:c r="M7" s="5" t="s">
        <x:v>14</x:v>
      </x:c>
      <x:c r="N7" s="5" t="str">
        <x:v>Ca kiểm thử bám đúng đặc tả, có dữ liệu và oracle kiểm tra được. Không cần chỉnh sửa.</x:v>
      </x:c>
      <x:c r="O7" s="5" t="s">
        <x:v>61</x:v>
      </x:c>
      <x:c r="P7" s="5" t="s">
        <x:v>46</x:v>
      </x:c>
      <x:c r="Q7" s="5" t="str">
        <x:v>BUG-FR03-02</x:v>
      </x:c>
    </x:row>
    <x:row r="8" ht="27.600000381469727">
      <x:c r="A8" s="5" t="s">
        <x:v>65</x:v>
      </x:c>
      <x:c r="B8" s="5" t="s">
        <x:v>7</x:v>
      </x:c>
      <x:c r="C8" s="5" t="s">
        <x:v>58</x:v>
      </x:c>
      <x:c r="D8" s="5" t="s">
        <x:v>66</x:v>
      </x:c>
      <x:c r="E8" s="5" t="s">
        <x:v>39</x:v>
      </x:c>
      <x:c r="F8" s="5" t="s">
        <x:v>40</x:v>
      </x:c>
      <x:c r="G8" s="5" t="s">
        <x:v>41</x:v>
      </x:c>
      <x:c r="H8" s="5" t="s">
        <x:v>42</x:v>
      </x:c>
      <x:c r="I8" s="5" t="s">
        <x:v>67</x:v>
      </x:c>
      <x:c r="J8" s="6">
        <x:v>400</x:v>
      </x:c>
      <x:c r="K8" s="5" t="s">
        <x:v>54</x:v>
      </x:c>
      <x:c r="L8" s="5" t="str">
        <x:v>-</x:v>
      </x:c>
      <x:c r="M8" s="5" t="s">
        <x:v>14</x:v>
      </x:c>
      <x:c r="N8" s="5" t="str">
        <x:v>Ca kiểm thử bám đúng đặc tả, có dữ liệu và oracle kiểm tra được. Không cần chỉnh sửa.</x:v>
      </x:c>
      <x:c r="O8" s="5" t="s">
        <x:v>61</x:v>
      </x:c>
      <x:c r="P8" s="5" t="s">
        <x:v>46</x:v>
      </x:c>
      <x:c r="Q8" s="5" t="str">
        <x:v>BUG-FR03-02</x:v>
      </x:c>
    </x:row>
    <x:row r="9" ht="41.400001525878906">
      <x:c r="A9" s="5" t="s">
        <x:v>68</x:v>
      </x:c>
      <x:c r="B9" s="5" t="s">
        <x:v>7</x:v>
      </x:c>
      <x:c r="C9" s="5" t="s">
        <x:v>58</x:v>
      </x:c>
      <x:c r="D9" s="5" t="s">
        <x:v>69</x:v>
      </x:c>
      <x:c r="E9" s="5" t="s">
        <x:v>39</x:v>
      </x:c>
      <x:c r="F9" s="5" t="s">
        <x:v>40</x:v>
      </x:c>
      <x:c r="G9" s="5" t="s">
        <x:v>41</x:v>
      </x:c>
      <x:c r="H9" s="5" t="s">
        <x:v>42</x:v>
      </x:c>
      <x:c r="I9" s="5" t="s">
        <x:v>70</x:v>
      </x:c>
      <x:c r="J9" s="6">
        <x:v>400</x:v>
      </x:c>
      <x:c r="K9" s="5" t="s">
        <x:v>54</x:v>
      </x:c>
      <x:c r="L9" s="5" t="str">
        <x:v>-</x:v>
      </x:c>
      <x:c r="M9" s="5" t="s">
        <x:v>16</x:v>
      </x:c>
      <x:c r="N9" s="5" t="str">
        <x:v>Bản AI ban đầu thiếu assertion schema hoặc hậu điều kiện có thể quan sát. Đã bổ sung expected keys và assertion nghiệp vụ tương ứng.</x:v>
      </x:c>
      <x:c r="O9" s="5" t="s">
        <x:v>61</x:v>
      </x:c>
      <x:c r="P9" s="5" t="s">
        <x:v>46</x:v>
      </x:c>
      <x:c r="Q9" s="5" t="str">
        <x:v>BUG-FR03-02</x:v>
      </x:c>
    </x:row>
    <x:row r="10" ht="27.600000381469727">
      <x:c r="A10" s="5" t="s">
        <x:v>71</x:v>
      </x:c>
      <x:c r="B10" s="5" t="s">
        <x:v>7</x:v>
      </x:c>
      <x:c r="C10" s="5" t="s">
        <x:v>58</x:v>
      </x:c>
      <x:c r="D10" s="5" t="s">
        <x:v>72</x:v>
      </x:c>
      <x:c r="E10" s="5" t="s">
        <x:v>39</x:v>
      </x:c>
      <x:c r="F10" s="5" t="s">
        <x:v>40</x:v>
      </x:c>
      <x:c r="G10" s="5" t="s">
        <x:v>41</x:v>
      </x:c>
      <x:c r="H10" s="5" t="s">
        <x:v>42</x:v>
      </x:c>
      <x:c r="I10" s="5" t="s">
        <x:v>73</x:v>
      </x:c>
      <x:c r="J10" s="6">
        <x:v>400</x:v>
      </x:c>
      <x:c r="K10" s="5" t="s">
        <x:v>54</x:v>
      </x:c>
      <x:c r="L10" s="5" t="str">
        <x:v>-</x:v>
      </x:c>
      <x:c r="M10" s="5" t="s">
        <x:v>14</x:v>
      </x:c>
      <x:c r="N10" s="5" t="str">
        <x:v>Ca kiểm thử bám đúng đặc tả, có dữ liệu và oracle kiểm tra được. Không cần chỉnh sửa.</x:v>
      </x:c>
      <x:c r="O10" s="5" t="s">
        <x:v>61</x:v>
      </x:c>
      <x:c r="P10" s="5" t="s">
        <x:v>46</x:v>
      </x:c>
      <x:c r="Q10" s="5" t="str">
        <x:v>BUG-FR03-02</x:v>
      </x:c>
    </x:row>
    <x:row r="11" ht="27.600000381469727">
      <x:c r="A11" s="5" t="s">
        <x:v>74</x:v>
      </x:c>
      <x:c r="B11" s="5" t="s">
        <x:v>7</x:v>
      </x:c>
      <x:c r="C11" s="5" t="s">
        <x:v>58</x:v>
      </x:c>
      <x:c r="D11" s="5" t="s">
        <x:v>75</x:v>
      </x:c>
      <x:c r="E11" s="5" t="s">
        <x:v>39</x:v>
      </x:c>
      <x:c r="F11" s="5" t="s">
        <x:v>40</x:v>
      </x:c>
      <x:c r="G11" s="5" t="s">
        <x:v>41</x:v>
      </x:c>
      <x:c r="H11" s="5" t="s">
        <x:v>42</x:v>
      </x:c>
      <x:c r="I11" s="5" t="s">
        <x:v>76</x:v>
      </x:c>
      <x:c r="J11" s="6">
        <x:v>400</x:v>
      </x:c>
      <x:c r="K11" s="5" t="s">
        <x:v>54</x:v>
      </x:c>
      <x:c r="L11" s="5" t="str">
        <x:v>-</x:v>
      </x:c>
      <x:c r="M11" s="5" t="s">
        <x:v>14</x:v>
      </x:c>
      <x:c r="N11" s="5" t="str">
        <x:v>Ca kiểm thử bám đúng đặc tả, có dữ liệu và oracle kiểm tra được. Không cần chỉnh sửa.</x:v>
      </x:c>
      <x:c r="O11" s="5" t="s">
        <x:v>61</x:v>
      </x:c>
      <x:c r="P11" s="5" t="s">
        <x:v>46</x:v>
      </x:c>
      <x:c r="Q11" s="5" t="str">
        <x:v>BUG-FR03-02</x:v>
      </x:c>
    </x:row>
    <x:row r="12" ht="27.600000381469727">
      <x:c r="A12" s="5" t="s">
        <x:v>77</x:v>
      </x:c>
      <x:c r="B12" s="5" t="s">
        <x:v>7</x:v>
      </x:c>
      <x:c r="C12" s="5" t="s">
        <x:v>78</x:v>
      </x:c>
      <x:c r="D12" s="5" t="s">
        <x:v>79</x:v>
      </x:c>
      <x:c r="E12" s="5" t="s">
        <x:v>39</x:v>
      </x:c>
      <x:c r="F12" s="5" t="s">
        <x:v>40</x:v>
      </x:c>
      <x:c r="G12" s="5" t="s">
        <x:v>41</x:v>
      </x:c>
      <x:c r="H12" s="5" t="s">
        <x:v>42</x:v>
      </x:c>
      <x:c r="I12" s="5" t="s">
        <x:v>80</x:v>
      </x:c>
      <x:c r="J12" s="6">
        <x:v>404</x:v>
      </x:c>
      <x:c r="K12" s="5" t="s">
        <x:v>54</x:v>
      </x:c>
      <x:c r="L12" s="5" t="str">
        <x:v>SEC-05</x:v>
      </x:c>
      <x:c r="M12" s="5" t="s">
        <x:v>14</x:v>
      </x:c>
      <x:c r="N12" s="5" t="str">
        <x:v>Ca kiểm thử bám đúng đặc tả, có dữ liệu và oracle kiểm tra được. Không cần chỉnh sửa.</x:v>
      </x:c>
      <x:c r="O12" s="5" t="s">
        <x:v>55</x:v>
      </x:c>
      <x:c r="P12" s="5" t="s">
        <x:v>56</x:v>
      </x:c>
      <x:c r="Q12" s="5" t="str">
        <x:v>-</x:v>
      </x:c>
    </x:row>
    <x:row r="13" ht="41.400001525878906">
      <x:c r="A13" s="5" t="s">
        <x:v>81</x:v>
      </x:c>
      <x:c r="B13" s="5" t="s">
        <x:v>7</x:v>
      </x:c>
      <x:c r="C13" s="5" t="s">
        <x:v>78</x:v>
      </x:c>
      <x:c r="D13" s="5" t="s">
        <x:v>82</x:v>
      </x:c>
      <x:c r="E13" s="5" t="s">
        <x:v>39</x:v>
      </x:c>
      <x:c r="F13" s="5" t="s">
        <x:v>40</x:v>
      </x:c>
      <x:c r="G13" s="5" t="s">
        <x:v>41</x:v>
      </x:c>
      <x:c r="H13" s="5" t="s">
        <x:v>42</x:v>
      </x:c>
      <x:c r="I13" s="5" t="s">
        <x:v>83</x:v>
      </x:c>
      <x:c r="J13" s="6">
        <x:v>400</x:v>
      </x:c>
      <x:c r="K13" s="5" t="s">
        <x:v>54</x:v>
      </x:c>
      <x:c r="L13" s="5" t="str">
        <x:v>SEC-05</x:v>
      </x:c>
      <x:c r="M13" s="5" t="s">
        <x:v>15</x:v>
      </x:c>
      <x:c r="N13" s="5" t="str">
        <x:v>Bản AI ban đầu suy đoán oracle theo hành vi phổ biến thay vì truy vết SRS. Đã thay oracle bằng status/ràng buộc trong SRS và bổ sung liên kết FR/SEC.</x:v>
      </x:c>
      <x:c r="O13" s="5" t="s">
        <x:v>61</x:v>
      </x:c>
      <x:c r="P13" s="5" t="s">
        <x:v>46</x:v>
      </x:c>
      <x:c r="Q13" s="5" t="str">
        <x:v>BUG-FR03-02</x:v>
      </x:c>
    </x:row>
    <x:row r="14" ht="27.600000381469727">
      <x:c r="A14" s="5" t="s">
        <x:v>84</x:v>
      </x:c>
      <x:c r="B14" s="5" t="s">
        <x:v>7</x:v>
      </x:c>
      <x:c r="C14" s="5" t="s">
        <x:v>85</x:v>
      </x:c>
      <x:c r="D14" s="5" t="s">
        <x:v>86</x:v>
      </x:c>
      <x:c r="E14" s="5" t="s">
        <x:v>39</x:v>
      </x:c>
      <x:c r="F14" s="5" t="s">
        <x:v>40</x:v>
      </x:c>
      <x:c r="G14" s="5" t="s">
        <x:v>41</x:v>
      </x:c>
      <x:c r="H14" s="5" t="s">
        <x:v>42</x:v>
      </x:c>
      <x:c r="I14" s="5" t="s">
        <x:v>43</x:v>
      </x:c>
      <x:c r="J14" s="6">
        <x:v>200</x:v>
      </x:c>
      <x:c r="K14" s="5" t="s">
        <x:v>87</x:v>
      </x:c>
      <x:c r="L14" s="5" t="str">
        <x:v>SEC-01, SEC-07</x:v>
      </x:c>
      <x:c r="M14" s="5" t="s">
        <x:v>14</x:v>
      </x:c>
      <x:c r="N14" s="5" t="str">
        <x:v>Ca kiểm thử bám đúng đặc tả, có dữ liệu và oracle kiểm tra được. Không cần chỉnh sửa.</x:v>
      </x:c>
      <x:c r="O14" s="5" t="s">
        <x:v>88</x:v>
      </x:c>
      <x:c r="P14" s="5" t="s">
        <x:v>56</x:v>
      </x:c>
      <x:c r="Q14" s="5" t="str">
        <x:v>-</x:v>
      </x:c>
    </x:row>
    <x:row r="15" ht="27.600000381469727">
      <x:c r="A15" s="5" t="s">
        <x:v>89</x:v>
      </x:c>
      <x:c r="B15" s="5" t="s">
        <x:v>7</x:v>
      </x:c>
      <x:c r="C15" s="5" t="s">
        <x:v>90</x:v>
      </x:c>
      <x:c r="D15" s="5" t="s">
        <x:v>91</x:v>
      </x:c>
      <x:c r="E15" s="5" t="s">
        <x:v>39</x:v>
      </x:c>
      <x:c r="F15" s="5" t="s">
        <x:v>40</x:v>
      </x:c>
      <x:c r="G15" s="5" t="s">
        <x:v>41</x:v>
      </x:c>
      <x:c r="H15" s="5" t="s">
        <x:v>42</x:v>
      </x:c>
      <x:c r="I15" s="5" t="s">
        <x:v>43</x:v>
      </x:c>
      <x:c r="J15" s="6">
        <x:v>200</x:v>
      </x:c>
      <x:c r="K15" s="5" t="s">
        <x:v>44</x:v>
      </x:c>
      <x:c r="L15" s="5" t="str">
        <x:v>SEC-07</x:v>
      </x:c>
      <x:c r="M15" s="5" t="s">
        <x:v>14</x:v>
      </x:c>
      <x:c r="N15" s="5" t="str">
        <x:v>Ca kiểm thử bám đúng đặc tả, có dữ liệu và oracle kiểm tra được. Không cần chỉnh sửa.</x:v>
      </x:c>
      <x:c r="O15" s="5" t="s">
        <x:v>92</x:v>
      </x:c>
      <x:c r="P15" s="5" t="s">
        <x:v>46</x:v>
      </x:c>
      <x:c r="Q15" s="5" t="str">
        <x:v>BUG-FR03-01</x:v>
      </x:c>
    </x:row>
    <x:row r="16" ht="41.400001525878906">
      <x:c r="A16" s="5" t="s">
        <x:v>93</x:v>
      </x:c>
      <x:c r="B16" s="5" t="s">
        <x:v>7</x:v>
      </x:c>
      <x:c r="C16" s="5" t="s">
        <x:v>37</x:v>
      </x:c>
      <x:c r="D16" s="5" t="s">
        <x:v>94</x:v>
      </x:c>
      <x:c r="E16" s="5" t="s">
        <x:v>39</x:v>
      </x:c>
      <x:c r="F16" s="5" t="s">
        <x:v>95</x:v>
      </x:c>
      <x:c r="G16" s="5" t="s">
        <x:v>41</x:v>
      </x:c>
      <x:c r="H16" s="5" t="s">
        <x:v>42</x:v>
      </x:c>
      <x:c r="I16" s="5" t="s">
        <x:v>96</x:v>
      </x:c>
      <x:c r="J16" s="6">
        <x:v>200</x:v>
      </x:c>
      <x:c r="K16" s="5" t="s">
        <x:v>54</x:v>
      </x:c>
      <x:c r="L16" s="5" t="str">
        <x:v>SEC-07</x:v>
      </x:c>
      <x:c r="M16" s="5" t="s">
        <x:v>16</x:v>
      </x:c>
      <x:c r="N16" s="5" t="str">
        <x:v>Bản AI ban đầu thiếu assertion schema hoặc hậu điều kiện có thể quan sát. Đã bổ sung expected keys và assertion nghiệp vụ tương ứng.</x:v>
      </x:c>
      <x:c r="O16" s="5" t="s">
        <x:v>88</x:v>
      </x:c>
      <x:c r="P16" s="5" t="s">
        <x:v>56</x:v>
      </x:c>
      <x:c r="Q16" s="5" t="str">
        <x:v>-</x:v>
      </x:c>
    </x:row>
    <x:row r="17" ht="27.600000381469727">
      <x:c r="A17" s="5" t="s">
        <x:v>97</x:v>
      </x:c>
      <x:c r="B17" s="5" t="s">
        <x:v>7</x:v>
      </x:c>
      <x:c r="C17" s="5" t="s">
        <x:v>37</x:v>
      </x:c>
      <x:c r="D17" s="5" t="s">
        <x:v>98</x:v>
      </x:c>
      <x:c r="E17" s="5" t="s">
        <x:v>39</x:v>
      </x:c>
      <x:c r="F17" s="5" t="s">
        <x:v>95</x:v>
      </x:c>
      <x:c r="G17" s="5" t="s">
        <x:v>41</x:v>
      </x:c>
      <x:c r="H17" s="5" t="s">
        <x:v>42</x:v>
      </x:c>
      <x:c r="I17" s="5" t="s">
        <x:v>99</x:v>
      </x:c>
      <x:c r="J17" s="6">
        <x:v>400</x:v>
      </x:c>
      <x:c r="K17" s="5" t="s">
        <x:v>54</x:v>
      </x:c>
      <x:c r="L17" s="5" t="str">
        <x:v>-</x:v>
      </x:c>
      <x:c r="M17" s="5" t="s">
        <x:v>14</x:v>
      </x:c>
      <x:c r="N17" s="5" t="str">
        <x:v>Ca kiểm thử bám đúng đặc tả, có dữ liệu và oracle kiểm tra được. Không cần chỉnh sửa.</x:v>
      </x:c>
      <x:c r="O17" s="5" t="s">
        <x:v>100</x:v>
      </x:c>
      <x:c r="P17" s="5" t="s">
        <x:v>56</x:v>
      </x:c>
      <x:c r="Q17" s="5" t="str">
        <x:v>-</x:v>
      </x:c>
    </x:row>
    <x:row r="18" ht="27.600000381469727">
      <x:c r="A18" s="5" t="s">
        <x:v>101</x:v>
      </x:c>
      <x:c r="B18" s="5" t="s">
        <x:v>7</x:v>
      </x:c>
      <x:c r="C18" s="5" t="s">
        <x:v>78</x:v>
      </x:c>
      <x:c r="D18" s="5" t="s">
        <x:v>102</x:v>
      </x:c>
      <x:c r="E18" s="5" t="s">
        <x:v>39</x:v>
      </x:c>
      <x:c r="F18" s="5" t="s">
        <x:v>95</x:v>
      </x:c>
      <x:c r="G18" s="5" t="s">
        <x:v>41</x:v>
      </x:c>
      <x:c r="H18" s="5" t="s">
        <x:v>42</x:v>
      </x:c>
      <x:c r="I18" s="5" t="s">
        <x:v>103</x:v>
      </x:c>
      <x:c r="J18" s="6">
        <x:v>400</x:v>
      </x:c>
      <x:c r="K18" s="5" t="s">
        <x:v>54</x:v>
      </x:c>
      <x:c r="L18" s="5" t="str">
        <x:v>SEC-07</x:v>
      </x:c>
      <x:c r="M18" s="5" t="s">
        <x:v>14</x:v>
      </x:c>
      <x:c r="N18" s="5" t="str">
        <x:v>Ca kiểm thử bám đúng đặc tả, có dữ liệu và oracle kiểm tra được. Không cần chỉnh sửa.</x:v>
      </x:c>
      <x:c r="O18" s="5" t="s">
        <x:v>100</x:v>
      </x:c>
      <x:c r="P18" s="5" t="s">
        <x:v>56</x:v>
      </x:c>
      <x:c r="Q18" s="5" t="str">
        <x:v>-</x:v>
      </x:c>
    </x:row>
    <x:row r="19" ht="27.600000381469727">
      <x:c r="A19" s="5" t="s">
        <x:v>104</x:v>
      </x:c>
      <x:c r="B19" s="5" t="s">
        <x:v>7</x:v>
      </x:c>
      <x:c r="C19" s="5" t="s">
        <x:v>58</x:v>
      </x:c>
      <x:c r="D19" s="5" t="s">
        <x:v>105</x:v>
      </x:c>
      <x:c r="E19" s="5" t="s">
        <x:v>39</x:v>
      </x:c>
      <x:c r="F19" s="5" t="s">
        <x:v>95</x:v>
      </x:c>
      <x:c r="G19" s="5" t="s">
        <x:v>41</x:v>
      </x:c>
      <x:c r="H19" s="5" t="s">
        <x:v>42</x:v>
      </x:c>
      <x:c r="I19" s="5" t="s">
        <x:v>106</x:v>
      </x:c>
      <x:c r="J19" s="6">
        <x:v>400</x:v>
      </x:c>
      <x:c r="K19" s="5" t="s">
        <x:v>54</x:v>
      </x:c>
      <x:c r="L19" s="5" t="str">
        <x:v>-</x:v>
      </x:c>
      <x:c r="M19" s="5" t="s">
        <x:v>14</x:v>
      </x:c>
      <x:c r="N19" s="5" t="str">
        <x:v>Ca kiểm thử bám đúng đặc tả, có dữ liệu và oracle kiểm tra được. Không cần chỉnh sửa.</x:v>
      </x:c>
      <x:c r="O19" s="5" t="s">
        <x:v>100</x:v>
      </x:c>
      <x:c r="P19" s="5" t="s">
        <x:v>56</x:v>
      </x:c>
      <x:c r="Q19" s="5" t="str">
        <x:v>-</x:v>
      </x:c>
    </x:row>
    <x:row r="20" ht="27.600000381469727">
      <x:c r="A20" s="5" t="s">
        <x:v>107</x:v>
      </x:c>
      <x:c r="B20" s="5" t="s">
        <x:v>7</x:v>
      </x:c>
      <x:c r="C20" s="5" t="s">
        <x:v>58</x:v>
      </x:c>
      <x:c r="D20" s="5" t="s">
        <x:v>108</x:v>
      </x:c>
      <x:c r="E20" s="5" t="s">
        <x:v>39</x:v>
      </x:c>
      <x:c r="F20" s="5" t="s">
        <x:v>95</x:v>
      </x:c>
      <x:c r="G20" s="5" t="s">
        <x:v>41</x:v>
      </x:c>
      <x:c r="H20" s="5" t="s">
        <x:v>42</x:v>
      </x:c>
      <x:c r="I20" s="5" t="s">
        <x:v>109</x:v>
      </x:c>
      <x:c r="J20" s="6">
        <x:v>400</x:v>
      </x:c>
      <x:c r="K20" s="5" t="s">
        <x:v>54</x:v>
      </x:c>
      <x:c r="L20" s="5" t="str">
        <x:v>-</x:v>
      </x:c>
      <x:c r="M20" s="5" t="s">
        <x:v>14</x:v>
      </x:c>
      <x:c r="N20" s="5" t="str">
        <x:v>Ca kiểm thử bám đúng đặc tả, có dữ liệu và oracle kiểm tra được. Không cần chỉnh sửa.</x:v>
      </x:c>
      <x:c r="O20" s="5" t="s">
        <x:v>100</x:v>
      </x:c>
      <x:c r="P20" s="5" t="s">
        <x:v>56</x:v>
      </x:c>
      <x:c r="Q20" s="5" t="str">
        <x:v>-</x:v>
      </x:c>
    </x:row>
    <x:row r="21" ht="27.600000381469727">
      <x:c r="A21" s="5" t="s">
        <x:v>110</x:v>
      </x:c>
      <x:c r="B21" s="5" t="s">
        <x:v>7</x:v>
      </x:c>
      <x:c r="C21" s="5" t="s">
        <x:v>58</x:v>
      </x:c>
      <x:c r="D21" s="5" t="s">
        <x:v>111</x:v>
      </x:c>
      <x:c r="E21" s="5" t="s">
        <x:v>39</x:v>
      </x:c>
      <x:c r="F21" s="5" t="s">
        <x:v>95</x:v>
      </x:c>
      <x:c r="G21" s="5" t="s">
        <x:v>41</x:v>
      </x:c>
      <x:c r="H21" s="5" t="s">
        <x:v>42</x:v>
      </x:c>
      <x:c r="I21" s="5" t="s">
        <x:v>112</x:v>
      </x:c>
      <x:c r="J21" s="6">
        <x:v>400</x:v>
      </x:c>
      <x:c r="K21" s="5" t="s">
        <x:v>54</x:v>
      </x:c>
      <x:c r="L21" s="5" t="str">
        <x:v>-</x:v>
      </x:c>
      <x:c r="M21" s="5" t="s">
        <x:v>14</x:v>
      </x:c>
      <x:c r="N21" s="5" t="str">
        <x:v>Ca kiểm thử bám đúng đặc tả, có dữ liệu và oracle kiểm tra được. Không cần chỉnh sửa.</x:v>
      </x:c>
      <x:c r="O21" s="5" t="s">
        <x:v>100</x:v>
      </x:c>
      <x:c r="P21" s="5" t="s">
        <x:v>56</x:v>
      </x:c>
      <x:c r="Q21" s="5" t="str">
        <x:v>-</x:v>
      </x:c>
    </x:row>
    <x:row r="22" ht="27.600000381469727">
      <x:c r="A22" s="5" t="s">
        <x:v>113</x:v>
      </x:c>
      <x:c r="B22" s="5" t="s">
        <x:v>7</x:v>
      </x:c>
      <x:c r="C22" s="5" t="s">
        <x:v>58</x:v>
      </x:c>
      <x:c r="D22" s="5" t="s">
        <x:v>114</x:v>
      </x:c>
      <x:c r="E22" s="5" t="s">
        <x:v>39</x:v>
      </x:c>
      <x:c r="F22" s="5" t="s">
        <x:v>95</x:v>
      </x:c>
      <x:c r="G22" s="5" t="s">
        <x:v>41</x:v>
      </x:c>
      <x:c r="H22" s="5" t="s">
        <x:v>42</x:v>
      </x:c>
      <x:c r="I22" s="5" t="s">
        <x:v>115</x:v>
      </x:c>
      <x:c r="J22" s="6">
        <x:v>400</x:v>
      </x:c>
      <x:c r="K22" s="5" t="s">
        <x:v>54</x:v>
      </x:c>
      <x:c r="L22" s="5" t="str">
        <x:v>-</x:v>
      </x:c>
      <x:c r="M22" s="5" t="s">
        <x:v>14</x:v>
      </x:c>
      <x:c r="N22" s="5" t="str">
        <x:v>Ca kiểm thử bám đúng đặc tả, có dữ liệu và oracle kiểm tra được. Không cần chỉnh sửa.</x:v>
      </x:c>
      <x:c r="O22" s="5" t="s">
        <x:v>100</x:v>
      </x:c>
      <x:c r="P22" s="5" t="s">
        <x:v>56</x:v>
      </x:c>
      <x:c r="Q22" s="5" t="str">
        <x:v>-</x:v>
      </x:c>
    </x:row>
    <x:row r="23" ht="41.400001525878906">
      <x:c r="A23" s="5" t="s">
        <x:v>116</x:v>
      </x:c>
      <x:c r="B23" s="5" t="s">
        <x:v>7</x:v>
      </x:c>
      <x:c r="C23" s="5" t="s">
        <x:v>58</x:v>
      </x:c>
      <x:c r="D23" s="5" t="s">
        <x:v>117</x:v>
      </x:c>
      <x:c r="E23" s="5" t="s">
        <x:v>39</x:v>
      </x:c>
      <x:c r="F23" s="5" t="s">
        <x:v>95</x:v>
      </x:c>
      <x:c r="G23" s="5" t="s">
        <x:v>41</x:v>
      </x:c>
      <x:c r="H23" s="5" t="s">
        <x:v>42</x:v>
      </x:c>
      <x:c r="I23" s="5" t="s">
        <x:v>118</x:v>
      </x:c>
      <x:c r="J23" s="6">
        <x:v>400</x:v>
      </x:c>
      <x:c r="K23" s="5" t="s">
        <x:v>54</x:v>
      </x:c>
      <x:c r="L23" s="5" t="str">
        <x:v>-</x:v>
      </x:c>
      <x:c r="M23" s="5" t="s">
        <x:v>16</x:v>
      </x:c>
      <x:c r="N23" s="5" t="str">
        <x:v>Bản AI ban đầu thiếu assertion schema hoặc hậu điều kiện có thể quan sát. Đã bổ sung expected keys và assertion nghiệp vụ tương ứng.</x:v>
      </x:c>
      <x:c r="O23" s="5" t="s">
        <x:v>100</x:v>
      </x:c>
      <x:c r="P23" s="5" t="s">
        <x:v>56</x:v>
      </x:c>
      <x:c r="Q23" s="5" t="str">
        <x:v>-</x:v>
      </x:c>
    </x:row>
    <x:row r="24" ht="41.400001525878906">
      <x:c r="A24" s="5" t="s">
        <x:v>119</x:v>
      </x:c>
      <x:c r="B24" s="5" t="s">
        <x:v>7</x:v>
      </x:c>
      <x:c r="C24" s="5" t="s">
        <x:v>90</x:v>
      </x:c>
      <x:c r="D24" s="5" t="s">
        <x:v>120</x:v>
      </x:c>
      <x:c r="E24" s="5" t="s">
        <x:v>39</x:v>
      </x:c>
      <x:c r="F24" s="5" t="s">
        <x:v>95</x:v>
      </x:c>
      <x:c r="G24" s="5" t="s">
        <x:v>41</x:v>
      </x:c>
      <x:c r="H24" s="5" t="s">
        <x:v>42</x:v>
      </x:c>
      <x:c r="I24" s="5" t="s">
        <x:v>121</x:v>
      </x:c>
      <x:c r="J24" s="6">
        <x:v>400</x:v>
      </x:c>
      <x:c r="K24" s="5" t="s">
        <x:v>54</x:v>
      </x:c>
      <x:c r="L24" s="5" t="str">
        <x:v>SEC-07</x:v>
      </x:c>
      <x:c r="M24" s="5" t="s">
        <x:v>15</x:v>
      </x:c>
      <x:c r="N24" s="5" t="str">
        <x:v>Bản AI ban đầu suy đoán oracle theo hành vi phổ biến thay vì truy vết SRS. Đã thay oracle bằng status/ràng buộc trong SRS và bổ sung liên kết FR/SEC.</x:v>
      </x:c>
      <x:c r="O24" s="5" t="s">
        <x:v>100</x:v>
      </x:c>
      <x:c r="P24" s="5" t="s">
        <x:v>56</x:v>
      </x:c>
      <x:c r="Q24" s="5" t="str">
        <x:v>-</x:v>
      </x:c>
    </x:row>
    <x:row r="25" ht="27.600000381469727">
      <x:c r="A25" s="5" t="s">
        <x:v>122</x:v>
      </x:c>
      <x:c r="B25" s="5" t="s">
        <x:v>7</x:v>
      </x:c>
      <x:c r="C25" s="5" t="s">
        <x:v>90</x:v>
      </x:c>
      <x:c r="D25" s="5" t="s">
        <x:v>123</x:v>
      </x:c>
      <x:c r="E25" s="5" t="s">
        <x:v>39</x:v>
      </x:c>
      <x:c r="F25" s="5" t="s">
        <x:v>95</x:v>
      </x:c>
      <x:c r="G25" s="5" t="s">
        <x:v>41</x:v>
      </x:c>
      <x:c r="H25" s="5" t="s">
        <x:v>42</x:v>
      </x:c>
      <x:c r="I25" s="5" t="s">
        <x:v>124</x:v>
      </x:c>
      <x:c r="J25" s="6">
        <x:v>400</x:v>
      </x:c>
      <x:c r="K25" s="5" t="s">
        <x:v>54</x:v>
      </x:c>
      <x:c r="L25" s="5" t="str">
        <x:v>SEC-07</x:v>
      </x:c>
      <x:c r="M25" s="5" t="s">
        <x:v>14</x:v>
      </x:c>
      <x:c r="N25" s="5" t="str">
        <x:v>Ca kiểm thử bám đúng đặc tả, có dữ liệu và oracle kiểm tra được. Không cần chỉnh sửa.</x:v>
      </x:c>
      <x:c r="O25" s="5" t="s">
        <x:v>100</x:v>
      </x:c>
      <x:c r="P25" s="5" t="s">
        <x:v>56</x:v>
      </x:c>
      <x:c r="Q25" s="5" t="str">
        <x:v>-</x:v>
      </x:c>
    </x:row>
    <x:row r="26" ht="27.600000381469727">
      <x:c r="A26" s="5" t="s">
        <x:v>125</x:v>
      </x:c>
      <x:c r="B26" s="5" t="s">
        <x:v>7</x:v>
      </x:c>
      <x:c r="C26" s="5" t="s">
        <x:v>58</x:v>
      </x:c>
      <x:c r="D26" s="5" t="s">
        <x:v>126</x:v>
      </x:c>
      <x:c r="E26" s="5" t="s">
        <x:v>39</x:v>
      </x:c>
      <x:c r="F26" s="5" t="s">
        <x:v>95</x:v>
      </x:c>
      <x:c r="G26" s="5" t="s">
        <x:v>41</x:v>
      </x:c>
      <x:c r="H26" s="5" t="s">
        <x:v>42</x:v>
      </x:c>
      <x:c r="I26" s="5" t="s">
        <x:v>127</x:v>
      </x:c>
      <x:c r="J26" s="6">
        <x:v>400</x:v>
      </x:c>
      <x:c r="K26" s="5" t="s">
        <x:v>54</x:v>
      </x:c>
      <x:c r="L26" s="5" t="str">
        <x:v>-</x:v>
      </x:c>
      <x:c r="M26" s="5" t="s">
        <x:v>14</x:v>
      </x:c>
      <x:c r="N26" s="5" t="str">
        <x:v>Ca kiểm thử bám đúng đặc tả, có dữ liệu và oracle kiểm tra được. Không cần chỉnh sửa.</x:v>
      </x:c>
      <x:c r="O26" s="5" t="s">
        <x:v>100</x:v>
      </x:c>
      <x:c r="P26" s="5" t="s">
        <x:v>56</x:v>
      </x:c>
      <x:c r="Q26" s="5" t="str">
        <x:v>-</x:v>
      </x:c>
    </x:row>
    <x:row r="27" ht="27.600000381469727">
      <x:c r="A27" s="5" t="s">
        <x:v>128</x:v>
      </x:c>
      <x:c r="B27" s="5" t="s">
        <x:v>7</x:v>
      </x:c>
      <x:c r="C27" s="5" t="s">
        <x:v>58</x:v>
      </x:c>
      <x:c r="D27" s="5" t="s">
        <x:v>129</x:v>
      </x:c>
      <x:c r="E27" s="5" t="s">
        <x:v>39</x:v>
      </x:c>
      <x:c r="F27" s="5" t="s">
        <x:v>95</x:v>
      </x:c>
      <x:c r="G27" s="5" t="s">
        <x:v>41</x:v>
      </x:c>
      <x:c r="H27" s="5" t="s">
        <x:v>42</x:v>
      </x:c>
      <x:c r="I27" s="5" t="s">
        <x:v>130</x:v>
      </x:c>
      <x:c r="J27" s="6">
        <x:v>400</x:v>
      </x:c>
      <x:c r="K27" s="5" t="s">
        <x:v>54</x:v>
      </x:c>
      <x:c r="L27" s="5" t="str">
        <x:v>-</x:v>
      </x:c>
      <x:c r="M27" s="5" t="s">
        <x:v>14</x:v>
      </x:c>
      <x:c r="N27" s="5" t="str">
        <x:v>Ca kiểm thử bám đúng đặc tả, có dữ liệu và oracle kiểm tra được. Không cần chỉnh sửa.</x:v>
      </x:c>
      <x:c r="O27" s="5" t="s">
        <x:v>100</x:v>
      </x:c>
      <x:c r="P27" s="5" t="s">
        <x:v>56</x:v>
      </x:c>
      <x:c r="Q27" s="5" t="str">
        <x:v>-</x:v>
      </x:c>
    </x:row>
    <x:row r="28" ht="27.600000381469727">
      <x:c r="A28" s="5" t="s">
        <x:v>131</x:v>
      </x:c>
      <x:c r="B28" s="5" t="s">
        <x:v>7</x:v>
      </x:c>
      <x:c r="C28" s="5" t="s">
        <x:v>90</x:v>
      </x:c>
      <x:c r="D28" s="5" t="s">
        <x:v>132</x:v>
      </x:c>
      <x:c r="E28" s="5" t="s">
        <x:v>39</x:v>
      </x:c>
      <x:c r="F28" s="5" t="s">
        <x:v>95</x:v>
      </x:c>
      <x:c r="G28" s="5" t="s">
        <x:v>41</x:v>
      </x:c>
      <x:c r="H28" s="5" t="s">
        <x:v>42</x:v>
      </x:c>
      <x:c r="I28" s="5" t="s">
        <x:v>133</x:v>
      </x:c>
      <x:c r="J28" s="6">
        <x:v>200</x:v>
      </x:c>
      <x:c r="K28" s="5" t="s">
        <x:v>54</x:v>
      </x:c>
      <x:c r="L28" s="5" t="str">
        <x:v>SEC-07</x:v>
      </x:c>
      <x:c r="M28" s="5" t="s">
        <x:v>14</x:v>
      </x:c>
      <x:c r="N28" s="5" t="str">
        <x:v>Ca kiểm thử bám đúng đặc tả, có dữ liệu và oracle kiểm tra được. Không cần chỉnh sửa.</x:v>
      </x:c>
      <x:c r="O28" s="5" t="s">
        <x:v>88</x:v>
      </x:c>
      <x:c r="P28" s="5" t="s">
        <x:v>56</x:v>
      </x:c>
      <x:c r="Q28" s="5" t="str">
        <x:v>-</x:v>
      </x:c>
    </x:row>
    <x:row r="29" ht="41.400001525878906">
      <x:c r="A29" s="5" t="s">
        <x:v>134</x:v>
      </x:c>
      <x:c r="B29" s="5" t="s">
        <x:v>7</x:v>
      </x:c>
      <x:c r="C29" s="5" t="s">
        <x:v>90</x:v>
      </x:c>
      <x:c r="D29" s="5" t="s">
        <x:v>135</x:v>
      </x:c>
      <x:c r="E29" s="5" t="s">
        <x:v>39</x:v>
      </x:c>
      <x:c r="F29" s="5" t="s">
        <x:v>95</x:v>
      </x:c>
      <x:c r="G29" s="5" t="s">
        <x:v>41</x:v>
      </x:c>
      <x:c r="H29" s="5" t="s">
        <x:v>42</x:v>
      </x:c>
      <x:c r="I29" s="5" t="s">
        <x:v>136</x:v>
      </x:c>
      <x:c r="J29" s="6">
        <x:v>400</x:v>
      </x:c>
      <x:c r="K29" s="5" t="s">
        <x:v>54</x:v>
      </x:c>
      <x:c r="L29" s="5" t="str">
        <x:v>SEC-07</x:v>
      </x:c>
      <x:c r="M29" s="5" t="s">
        <x:v>14</x:v>
      </x:c>
      <x:c r="N29" s="5" t="str">
        <x:v>Ca kiểm thử bám đúng đặc tả, có dữ liệu và oracle kiểm tra được. Không cần chỉnh sửa.</x:v>
      </x:c>
      <x:c r="O29" s="5" t="s">
        <x:v>137</x:v>
      </x:c>
      <x:c r="P29" s="5" t="s">
        <x:v>46</x:v>
      </x:c>
      <x:c r="Q29" s="5" t="str">
        <x:v>BUG-FR03-03</x:v>
      </x:c>
    </x:row>
    <x:row r="30" ht="41.400001525878906">
      <x:c r="A30" s="5" t="s">
        <x:v>138</x:v>
      </x:c>
      <x:c r="B30" s="5" t="s">
        <x:v>7</x:v>
      </x:c>
      <x:c r="C30" s="5" t="s">
        <x:v>58</x:v>
      </x:c>
      <x:c r="D30" s="5" t="s">
        <x:v>139</x:v>
      </x:c>
      <x:c r="E30" s="5" t="s">
        <x:v>39</x:v>
      </x:c>
      <x:c r="F30" s="5" t="s">
        <x:v>95</x:v>
      </x:c>
      <x:c r="G30" s="5" t="s">
        <x:v>41</x:v>
      </x:c>
      <x:c r="H30" s="5" t="s">
        <x:v>42</x:v>
      </x:c>
      <x:c r="I30" s="5" t="s">
        <x:v>140</x:v>
      </x:c>
      <x:c r="J30" s="6">
        <x:v>400</x:v>
      </x:c>
      <x:c r="K30" s="5" t="s">
        <x:v>54</x:v>
      </x:c>
      <x:c r="L30" s="5" t="str">
        <x:v>SEC-07</x:v>
      </x:c>
      <x:c r="M30" s="5" t="s">
        <x:v>16</x:v>
      </x:c>
      <x:c r="N30" s="5" t="str">
        <x:v>Bản AI ban đầu thiếu assertion schema hoặc hậu điều kiện có thể quan sát. Đã bổ sung expected keys và assertion nghiệp vụ tương ứng.</x:v>
      </x:c>
      <x:c r="O30" s="5" t="s">
        <x:v>137</x:v>
      </x:c>
      <x:c r="P30" s="5" t="s">
        <x:v>46</x:v>
      </x:c>
      <x:c r="Q30" s="5" t="str">
        <x:v>BUG-FR03-03</x:v>
      </x:c>
    </x:row>
    <x:row r="31" ht="41.400001525878906">
      <x:c r="A31" s="5" t="s">
        <x:v>141</x:v>
      </x:c>
      <x:c r="B31" s="5" t="s">
        <x:v>7</x:v>
      </x:c>
      <x:c r="C31" s="5" t="s">
        <x:v>58</x:v>
      </x:c>
      <x:c r="D31" s="5" t="s">
        <x:v>142</x:v>
      </x:c>
      <x:c r="E31" s="5" t="s">
        <x:v>39</x:v>
      </x:c>
      <x:c r="F31" s="5" t="s">
        <x:v>95</x:v>
      </x:c>
      <x:c r="G31" s="5" t="s">
        <x:v>41</x:v>
      </x:c>
      <x:c r="H31" s="5" t="s">
        <x:v>42</x:v>
      </x:c>
      <x:c r="I31" s="5" t="s">
        <x:v>143</x:v>
      </x:c>
      <x:c r="J31" s="6">
        <x:v>400</x:v>
      </x:c>
      <x:c r="K31" s="5" t="s">
        <x:v>54</x:v>
      </x:c>
      <x:c r="L31" s="5" t="str">
        <x:v>SEC-07</x:v>
      </x:c>
      <x:c r="M31" s="5" t="s">
        <x:v>14</x:v>
      </x:c>
      <x:c r="N31" s="5" t="str">
        <x:v>Ca kiểm thử bám đúng đặc tả, có dữ liệu và oracle kiểm tra được. Không cần chỉnh sửa.</x:v>
      </x:c>
      <x:c r="O31" s="5" t="s">
        <x:v>137</x:v>
      </x:c>
      <x:c r="P31" s="5" t="s">
        <x:v>46</x:v>
      </x:c>
      <x:c r="Q31" s="5" t="str">
        <x:v>BUG-FR03-03</x:v>
      </x:c>
    </x:row>
    <x:row r="32" ht="41.400001525878906">
      <x:c r="A32" s="5" t="s">
        <x:v>144</x:v>
      </x:c>
      <x:c r="B32" s="5" t="s">
        <x:v>7</x:v>
      </x:c>
      <x:c r="C32" s="5" t="s">
        <x:v>58</x:v>
      </x:c>
      <x:c r="D32" s="5" t="s">
        <x:v>145</x:v>
      </x:c>
      <x:c r="E32" s="5" t="s">
        <x:v>39</x:v>
      </x:c>
      <x:c r="F32" s="5" t="s">
        <x:v>95</x:v>
      </x:c>
      <x:c r="G32" s="5" t="s">
        <x:v>41</x:v>
      </x:c>
      <x:c r="H32" s="5" t="s">
        <x:v>42</x:v>
      </x:c>
      <x:c r="I32" s="5" t="s">
        <x:v>146</x:v>
      </x:c>
      <x:c r="J32" s="6">
        <x:v>400</x:v>
      </x:c>
      <x:c r="K32" s="5" t="s">
        <x:v>54</x:v>
      </x:c>
      <x:c r="L32" s="5" t="str">
        <x:v>SEC-07</x:v>
      </x:c>
      <x:c r="M32" s="5" t="s">
        <x:v>14</x:v>
      </x:c>
      <x:c r="N32" s="5" t="str">
        <x:v>Ca kiểm thử bám đúng đặc tả, có dữ liệu và oracle kiểm tra được. Không cần chỉnh sửa.</x:v>
      </x:c>
      <x:c r="O32" s="5" t="s">
        <x:v>137</x:v>
      </x:c>
      <x:c r="P32" s="5" t="s">
        <x:v>46</x:v>
      </x:c>
      <x:c r="Q32" s="5" t="str">
        <x:v>BUG-FR03-03</x:v>
      </x:c>
    </x:row>
    <x:row r="33" ht="41.400001525878906">
      <x:c r="A33" s="5" t="s">
        <x:v>147</x:v>
      </x:c>
      <x:c r="B33" s="5" t="s">
        <x:v>7</x:v>
      </x:c>
      <x:c r="C33" s="5" t="s">
        <x:v>58</x:v>
      </x:c>
      <x:c r="D33" s="5" t="s">
        <x:v>148</x:v>
      </x:c>
      <x:c r="E33" s="5" t="s">
        <x:v>39</x:v>
      </x:c>
      <x:c r="F33" s="5" t="s">
        <x:v>95</x:v>
      </x:c>
      <x:c r="G33" s="5" t="s">
        <x:v>41</x:v>
      </x:c>
      <x:c r="H33" s="5" t="s">
        <x:v>42</x:v>
      </x:c>
      <x:c r="I33" s="5" t="s">
        <x:v>149</x:v>
      </x:c>
      <x:c r="J33" s="6">
        <x:v>400</x:v>
      </x:c>
      <x:c r="K33" s="5" t="s">
        <x:v>54</x:v>
      </x:c>
      <x:c r="L33" s="5" t="str">
        <x:v>SEC-07</x:v>
      </x:c>
      <x:c r="M33" s="5" t="s">
        <x:v>14</x:v>
      </x:c>
      <x:c r="N33" s="5" t="str">
        <x:v>Ca kiểm thử bám đúng đặc tả, có dữ liệu và oracle kiểm tra được. Không cần chỉnh sửa.</x:v>
      </x:c>
      <x:c r="O33" s="5" t="s">
        <x:v>137</x:v>
      </x:c>
      <x:c r="P33" s="5" t="s">
        <x:v>46</x:v>
      </x:c>
      <x:c r="Q33" s="5" t="str">
        <x:v>BUG-FR03-03</x:v>
      </x:c>
    </x:row>
    <x:row r="34" ht="41.400001525878906">
      <x:c r="A34" s="5" t="s">
        <x:v>150</x:v>
      </x:c>
      <x:c r="B34" s="5" t="s">
        <x:v>7</x:v>
      </x:c>
      <x:c r="C34" s="5" t="s">
        <x:v>58</x:v>
      </x:c>
      <x:c r="D34" s="5" t="s">
        <x:v>151</x:v>
      </x:c>
      <x:c r="E34" s="5" t="s">
        <x:v>39</x:v>
      </x:c>
      <x:c r="F34" s="5" t="s">
        <x:v>95</x:v>
      </x:c>
      <x:c r="G34" s="5" t="s">
        <x:v>41</x:v>
      </x:c>
      <x:c r="H34" s="5" t="s">
        <x:v>42</x:v>
      </x:c>
      <x:c r="I34" s="5" t="s">
        <x:v>152</x:v>
      </x:c>
      <x:c r="J34" s="6">
        <x:v>400</x:v>
      </x:c>
      <x:c r="K34" s="5" t="s">
        <x:v>54</x:v>
      </x:c>
      <x:c r="L34" s="5" t="str">
        <x:v>SEC-07</x:v>
      </x:c>
      <x:c r="M34" s="5" t="s">
        <x:v>14</x:v>
      </x:c>
      <x:c r="N34" s="5" t="str">
        <x:v>Ca kiểm thử bám đúng đặc tả, có dữ liệu và oracle kiểm tra được. Không cần chỉnh sửa.</x:v>
      </x:c>
      <x:c r="O34" s="5" t="s">
        <x:v>137</x:v>
      </x:c>
      <x:c r="P34" s="5" t="s">
        <x:v>46</x:v>
      </x:c>
      <x:c r="Q34" s="5" t="str">
        <x:v>BUG-FR03-03</x:v>
      </x:c>
    </x:row>
    <x:row r="35" ht="41.400001525878906">
      <x:c r="A35" s="5" t="s">
        <x:v>153</x:v>
      </x:c>
      <x:c r="B35" s="5" t="s">
        <x:v>7</x:v>
      </x:c>
      <x:c r="C35" s="5" t="s">
        <x:v>154</x:v>
      </x:c>
      <x:c r="D35" s="5" t="s">
        <x:v>155</x:v>
      </x:c>
      <x:c r="E35" s="5" t="s">
        <x:v>39</x:v>
      </x:c>
      <x:c r="F35" s="5" t="s">
        <x:v>95</x:v>
      </x:c>
      <x:c r="G35" s="5" t="s">
        <x:v>41</x:v>
      </x:c>
      <x:c r="H35" s="5" t="s">
        <x:v>42</x:v>
      </x:c>
      <x:c r="I35" s="5" t="s">
        <x:v>156</x:v>
      </x:c>
      <x:c r="J35" s="6">
        <x:v>400</x:v>
      </x:c>
      <x:c r="K35" s="5" t="s">
        <x:v>54</x:v>
      </x:c>
      <x:c r="L35" s="5" t="str">
        <x:v>SEC-07</x:v>
      </x:c>
      <x:c r="M35" s="5" t="s">
        <x:v>15</x:v>
      </x:c>
      <x:c r="N35" s="5" t="str">
        <x:v>Bản AI ban đầu suy đoán oracle theo hành vi phổ biến thay vì truy vết SRS. Đã thay oracle bằng status/ràng buộc trong SRS và bổ sung liên kết FR/SEC.</x:v>
      </x:c>
      <x:c r="O35" s="5" t="s">
        <x:v>100</x:v>
      </x:c>
      <x:c r="P35" s="5" t="s">
        <x:v>56</x:v>
      </x:c>
      <x:c r="Q35" s="5" t="str">
        <x:v>-</x:v>
      </x:c>
    </x:row>
    <x:row r="36" ht="27.600000381469727">
      <x:c r="A36" s="5" t="s">
        <x:v>157</x:v>
      </x:c>
      <x:c r="B36" s="5" t="s">
        <x:v>7</x:v>
      </x:c>
      <x:c r="C36" s="5" t="s">
        <x:v>85</x:v>
      </x:c>
      <x:c r="D36" s="5" t="s">
        <x:v>158</x:v>
      </x:c>
      <x:c r="E36" s="5" t="s">
        <x:v>39</x:v>
      </x:c>
      <x:c r="F36" s="5" t="s">
        <x:v>95</x:v>
      </x:c>
      <x:c r="G36" s="5" t="s">
        <x:v>41</x:v>
      </x:c>
      <x:c r="H36" s="5" t="s">
        <x:v>42</x:v>
      </x:c>
      <x:c r="I36" s="5" t="s">
        <x:v>159</x:v>
      </x:c>
      <x:c r="J36" s="6">
        <x:v>200</x:v>
      </x:c>
      <x:c r="K36" s="5" t="s">
        <x:v>87</x:v>
      </x:c>
      <x:c r="L36" s="5" t="str">
        <x:v>SEC-01, SEC-07</x:v>
      </x:c>
      <x:c r="M36" s="5" t="s">
        <x:v>14</x:v>
      </x:c>
      <x:c r="N36" s="5" t="str">
        <x:v>Ca kiểm thử bám đúng đặc tả, có dữ liệu và oracle kiểm tra được. Không cần chỉnh sửa.</x:v>
      </x:c>
      <x:c r="O36" s="5" t="s">
        <x:v>88</x:v>
      </x:c>
      <x:c r="P36" s="5" t="s">
        <x:v>56</x:v>
      </x:c>
      <x:c r="Q36" s="5" t="str">
        <x:v>-</x:v>
      </x:c>
    </x:row>
    <x:row r="37" ht="41.400001525878906">
      <x:c r="A37" s="5" t="s">
        <x:v>160</x:v>
      </x:c>
      <x:c r="B37" s="5" t="s">
        <x:v>7</x:v>
      </x:c>
      <x:c r="C37" s="5" t="s">
        <x:v>78</x:v>
      </x:c>
      <x:c r="D37" s="5" t="s">
        <x:v>161</x:v>
      </x:c>
      <x:c r="E37" s="5" t="s">
        <x:v>39</x:v>
      </x:c>
      <x:c r="F37" s="5" t="s">
        <x:v>95</x:v>
      </x:c>
      <x:c r="G37" s="5" t="s">
        <x:v>41</x:v>
      </x:c>
      <x:c r="H37" s="5" t="s">
        <x:v>42</x:v>
      </x:c>
      <x:c r="I37" s="5" t="s">
        <x:v>162</x:v>
      </x:c>
      <x:c r="J37" s="6">
        <x:v>400</x:v>
      </x:c>
      <x:c r="K37" s="5" t="s">
        <x:v>54</x:v>
      </x:c>
      <x:c r="L37" s="5" t="str">
        <x:v>SEC-05</x:v>
      </x:c>
      <x:c r="M37" s="5" t="s">
        <x:v>16</x:v>
      </x:c>
      <x:c r="N37" s="5" t="str">
        <x:v>Bản AI ban đầu thiếu assertion schema hoặc hậu điều kiện có thể quan sát. Đã bổ sung expected keys và assertion nghiệp vụ tương ứng.</x:v>
      </x:c>
      <x:c r="O37" s="5" t="s">
        <x:v>100</x:v>
      </x:c>
      <x:c r="P37" s="5" t="s">
        <x:v>56</x:v>
      </x:c>
      <x:c r="Q37" s="5" t="str">
        <x:v>-</x:v>
      </x:c>
    </x:row>
    <x:row r="38" ht="27.600000381469727">
      <x:c r="A38" s="5" t="s">
        <x:v>163</x:v>
      </x:c>
      <x:c r="B38" s="5" t="s">
        <x:v>164</x:v>
      </x:c>
      <x:c r="C38" s="5" t="s">
        <x:v>78</x:v>
      </x:c>
      <x:c r="D38" s="5" t="s">
        <x:v>165</x:v>
      </x:c>
      <x:c r="E38" s="5" t="s">
        <x:v>39</x:v>
      </x:c>
      <x:c r="F38" s="5" t="s">
        <x:v>95</x:v>
      </x:c>
      <x:c r="G38" s="5" t="s">
        <x:v>41</x:v>
      </x:c>
      <x:c r="H38" s="5" t="s">
        <x:v>42</x:v>
      </x:c>
      <x:c r="I38" s="5" t="s">
        <x:v>166</x:v>
      </x:c>
      <x:c r="J38" s="6">
        <x:v>429</x:v>
      </x:c>
      <x:c r="K38" s="5" t="s">
        <x:v>167</x:v>
      </x:c>
      <x:c r="L38" s="5" t="str">
        <x:v>-</x:v>
      </x:c>
      <x:c r="M38" s="5" t="s">
        <x:v>168</x:v>
      </x:c>
      <x:c r="N38" s="5" t="str">
        <x:v>AI ban đầu chỉ kiểm tra từng request độc lập nên bỏ sót chuỗi thử sai lặp lại và cơ chế giới hạn brute-force OTP. Không áp dụng; đây là ca sinh viên bổ sung sau kiểm toán AI.</x:v>
      </x:c>
      <x:c r="O38" s="5" t="s">
        <x:v>169</x:v>
      </x:c>
      <x:c r="P38" s="5" t="s">
        <x:v>46</x:v>
      </x:c>
      <x:c r="Q38" s="5" t="str">
        <x:v>BUG-FR03-04</x:v>
      </x:c>
    </x:row>
    <x:row r="39" ht="27.600000381469727">
      <x:c r="A39" s="5" t="s">
        <x:v>170</x:v>
      </x:c>
      <x:c r="B39" s="5" t="s">
        <x:v>164</x:v>
      </x:c>
      <x:c r="C39" s="5" t="s">
        <x:v>154</x:v>
      </x:c>
      <x:c r="D39" s="5" t="s">
        <x:v>171</x:v>
      </x:c>
      <x:c r="E39" s="5" t="s">
        <x:v>39</x:v>
      </x:c>
      <x:c r="F39" s="5" t="s">
        <x:v>95</x:v>
      </x:c>
      <x:c r="G39" s="5" t="s">
        <x:v>41</x:v>
      </x:c>
      <x:c r="H39" s="5" t="s">
        <x:v>42</x:v>
      </x:c>
      <x:c r="I39" s="5" t="s">
        <x:v>172</x:v>
      </x:c>
      <x:c r="J39" s="6">
        <x:v>400</x:v>
      </x:c>
      <x:c r="K39" s="5" t="s">
        <x:v>54</x:v>
      </x:c>
      <x:c r="L39" s="5" t="str">
        <x:v>SEC-07</x:v>
      </x:c>
      <x:c r="M39" s="5" t="s">
        <x:v>168</x:v>
      </x:c>
      <x:c r="N39" s="5" t="str">
        <x:v>AI ban đầu chưa mô hình hóa chuỗi trạng thái gồm hai lần cấp OTP liên tiếp và yêu cầu vô hiệu hóa OTP cũ. Không áp dụng; đây là ca sinh viên bổ sung sau kiểm toán AI.</x:v>
      </x:c>
      <x:c r="O39" s="5" t="s">
        <x:v>100</x:v>
      </x:c>
      <x:c r="P39" s="5" t="s">
        <x:v>56</x:v>
      </x:c>
      <x:c r="Q39" s="5" t="str">
        <x:v>-</x:v>
      </x:c>
    </x:row>
    <x:row r="40" ht="27.600000381469727">
      <x:c r="A40" s="5" t="s">
        <x:v>173</x:v>
      </x:c>
      <x:c r="B40" s="5" t="s">
        <x:v>164</x:v>
      </x:c>
      <x:c r="C40" s="5" t="s">
        <x:v>78</x:v>
      </x:c>
      <x:c r="D40" s="5" t="s">
        <x:v>174</x:v>
      </x:c>
      <x:c r="E40" s="5" t="s">
        <x:v>39</x:v>
      </x:c>
      <x:c r="F40" s="5" t="s">
        <x:v>95</x:v>
      </x:c>
      <x:c r="G40" s="5" t="s">
        <x:v>41</x:v>
      </x:c>
      <x:c r="H40" s="5" t="s">
        <x:v>42</x:v>
      </x:c>
      <x:c r="I40" s="5" t="s">
        <x:v>175</x:v>
      </x:c>
      <x:c r="J40" s="6">
        <x:v>400</x:v>
      </x:c>
      <x:c r="K40" s="5" t="s">
        <x:v>54</x:v>
      </x:c>
      <x:c r="L40" s="5" t="str">
        <x:v>SEC-07</x:v>
      </x:c>
      <x:c r="M40" s="5" t="s">
        <x:v>168</x:v>
      </x:c>
      <x:c r="N40" s="5" t="str">
        <x:v>AI ban đầu chưa bao phủ kiểm thử phụ thuộc thời gian tại thời điểm OTP vừa hết hạn. Không áp dụng; đây là ca sinh viên bổ sung sau kiểm toán AI.</x:v>
      </x:c>
      <x:c r="O40" s="5" t="s">
        <x:v>100</x:v>
      </x:c>
      <x:c r="P40" s="5" t="s">
        <x:v>56</x:v>
      </x:c>
      <x:c r="Q40" s="5" t="str">
        <x:v>-</x:v>
      </x:c>
    </x:row>
    <x:row r="41" ht="27.600000381469727">
      <x:c r="A41" s="5" t="s">
        <x:v>176</x:v>
      </x:c>
      <x:c r="B41" s="5" t="s">
        <x:v>164</x:v>
      </x:c>
      <x:c r="C41" s="5" t="s">
        <x:v>78</x:v>
      </x:c>
      <x:c r="D41" s="5" t="s">
        <x:v>177</x:v>
      </x:c>
      <x:c r="E41" s="5" t="s">
        <x:v>39</x:v>
      </x:c>
      <x:c r="F41" s="5" t="s">
        <x:v>40</x:v>
      </x:c>
      <x:c r="G41" s="5" t="s">
        <x:v>41</x:v>
      </x:c>
      <x:c r="H41" s="5" t="s">
        <x:v>42</x:v>
      </x:c>
      <x:c r="I41" s="5" t="s">
        <x:v>178</x:v>
      </x:c>
      <x:c r="J41" s="6">
        <x:v>400</x:v>
      </x:c>
      <x:c r="K41" s="5" t="s">
        <x:v>54</x:v>
      </x:c>
      <x:c r="L41" s="5" t="str">
        <x:v>SEC-05</x:v>
      </x:c>
      <x:c r="M41" s="5" t="s">
        <x:v>168</x:v>
      </x:c>
      <x:c r="N41" s="5" t="str">
        <x:v>AI ban đầu bỏ sót payload ký tự điều khiển null byte có thể tạo khác biệt giữa lớp validation và truy vấn dữ liệu. Không áp dụng; đây là ca sinh viên bổ sung sau kiểm toán AI.</x:v>
      </x:c>
      <x:c r="O41" s="5" t="s">
        <x:v>61</x:v>
      </x:c>
      <x:c r="P41" s="5" t="s">
        <x:v>46</x:v>
      </x:c>
      <x:c r="Q41" s="5" t="str">
        <x:v>BUG-FR03-02</x:v>
      </x:c>
    </x:row>
    <x:row r="42" ht="27.600000381469727">
      <x:c r="A42" s="5" t="s">
        <x:v>179</x:v>
      </x:c>
      <x:c r="B42" s="5" t="s">
        <x:v>164</x:v>
      </x:c>
      <x:c r="C42" s="5" t="s">
        <x:v>154</x:v>
      </x:c>
      <x:c r="D42" s="5" t="s">
        <x:v>180</x:v>
      </x:c>
      <x:c r="E42" s="5" t="s">
        <x:v>39</x:v>
      </x:c>
      <x:c r="F42" s="5" t="s">
        <x:v>95</x:v>
      </x:c>
      <x:c r="G42" s="5" t="s">
        <x:v>41</x:v>
      </x:c>
      <x:c r="H42" s="5" t="s">
        <x:v>42</x:v>
      </x:c>
      <x:c r="I42" s="5" t="s">
        <x:v>181</x:v>
      </x:c>
      <x:c r="J42" s="6">
        <x:v>400</x:v>
      </x:c>
      <x:c r="K42" s="5" t="s">
        <x:v>182</x:v>
      </x:c>
      <x:c r="L42" s="5" t="str">
        <x:v>SEC-07</x:v>
      </x:c>
      <x:c r="M42" s="5" t="s">
        <x:v>168</x:v>
      </x:c>
      <x:c r="N42" s="5" t="str">
        <x:v>AI ban đầu chỉ kiểm tra mã lỗi, chưa xác minh hậu điều kiện âm rằng mật khẩu phải giữ nguyên sau OTP sai. Không áp dụng; đây là ca sinh viên bổ sung sau kiểm toán AI.</x:v>
      </x:c>
      <x:c r="O42" s="5" t="s">
        <x:v>100</x:v>
      </x:c>
      <x:c r="P42" s="5" t="s">
        <x:v>56</x:v>
      </x:c>
      <x:c r="Q42" s="5" t="str">
        <x:v>-</x:v>
      </x:c>
    </x:row>
  </x:sheetData>
  <x:mergeCells>
    <x:mergeCell ref="A1:Q1"/>
  </x:mergeCells>
  <x:conditionalFormatting sqref="M3:M42">
    <x:cfRule type="containsText" dxfId="0" priority="3" operator="between" text="INCOMPLETE">
      <x:formula>NOT(ISERROR(SEARCH("INCOMPLETE",M3)))</x:formula>
    </x:cfRule>
    <x:cfRule type="containsText" dxfId="1" priority="4" operator="between" text="INVALID">
      <x:formula>NOT(ISERROR(SEARCH("INVALID",M3)))</x:formula>
    </x:cfRule>
  </x:conditionalFormatting>
  <x:conditionalFormatting sqref="P3:P42">
    <x:cfRule type="containsText" dxfId="2" priority="1" operator="between" text="PASS">
      <x:formula>NOT(ISERROR(SEARCH("PASS",P3)))</x:formula>
    </x:cfRule>
    <x:cfRule type="containsText" dxfId="3" priority="2" operator="between" text="FAIL">
      <x:formula>NOT(ISERROR(SEARCH("FAIL",P3)))</x:formula>
    </x:cfRule>
  </x:conditionalFormatting>
  <x:dataValidations count="1">
    <x:dataValidation type="list" sqref="P3:P42">
      <x:formula1>"PASS,FAIL,NOT_RUN"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b15b85a1cfe42b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9" defaultRowHeight="13.800000190734863"/>
  <x:cols>
    <x:col min="1" max="1" width="17" customWidth="1"/>
    <x:col min="2" max="3" width="12" customWidth="1"/>
    <x:col min="4" max="4" width="35" customWidth="1"/>
    <x:col min="5" max="5" width="10" customWidth="1"/>
    <x:col min="6" max="6" width="34" customWidth="1"/>
    <x:col min="7" max="7" width="10" customWidth="1"/>
    <x:col min="8" max="9" width="36" customWidth="1"/>
    <x:col min="10" max="13" width="15" customWidth="1"/>
    <x:col min="14" max="15" width="48" customWidth="1"/>
    <x:col min="16" max="17" width="16" customWidth="1"/>
  </x:cols>
  <x:sheetData>
    <x:row r="1" ht="17.399999618530273">
      <x:c r="A1" s="1" t="s">
        <x:v>183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</x:row>
    <x:row r="2">
      <x:c r="A2" s="2" t="s">
        <x:v>19</x:v>
      </x:c>
      <x:c r="B2" s="3" t="s">
        <x:v>20</x:v>
      </x:c>
      <x:c r="C2" s="3" t="s">
        <x:v>21</x:v>
      </x:c>
      <x:c r="D2" s="3" t="s">
        <x:v>22</x:v>
      </x:c>
      <x:c r="E2" s="3" t="s">
        <x:v>23</x:v>
      </x:c>
      <x:c r="F2" s="3" t="s">
        <x:v>24</x:v>
      </x:c>
      <x:c r="G2" s="3" t="s">
        <x:v>25</x:v>
      </x:c>
      <x:c r="H2" s="3" t="s">
        <x:v>26</x:v>
      </x:c>
      <x:c r="I2" s="3" t="s">
        <x:v>27</x:v>
      </x:c>
      <x:c r="J2" s="3" t="s">
        <x:v>28</x:v>
      </x:c>
      <x:c r="K2" s="3" t="s">
        <x:v>29</x:v>
      </x:c>
      <x:c r="L2" s="3" t="s">
        <x:v>30</x:v>
      </x:c>
      <x:c r="M2" s="3" t="s">
        <x:v>31</x:v>
      </x:c>
      <x:c r="N2" s="3" t="s">
        <x:v>32</x:v>
      </x:c>
      <x:c r="O2" s="3" t="s">
        <x:v>33</x:v>
      </x:c>
      <x:c r="P2" s="3" t="s">
        <x:v>34</x:v>
      </x:c>
      <x:c r="Q2" s="4" t="s">
        <x:v>35</x:v>
      </x:c>
    </x:row>
    <x:row r="3" ht="27.600000381469727">
      <x:c r="A3" s="5" t="s">
        <x:v>184</x:v>
      </x:c>
      <x:c r="B3" s="5" t="s">
        <x:v>7</x:v>
      </x:c>
      <x:c r="C3" s="5" t="s">
        <x:v>37</x:v>
      </x:c>
      <x:c r="D3" s="5" t="s">
        <x:v>185</x:v>
      </x:c>
      <x:c r="E3" s="5" t="s">
        <x:v>39</x:v>
      </x:c>
      <x:c r="F3" s="5" t="s">
        <x:v>186</x:v>
      </x:c>
      <x:c r="G3" s="5" t="s">
        <x:v>187</x:v>
      </x:c>
      <x:c r="H3" s="5" t="s">
        <x:v>42</x:v>
      </x:c>
      <x:c r="I3" s="5" t="s">
        <x:v>188</x:v>
      </x:c>
      <x:c r="J3" s="6">
        <x:v>200</x:v>
      </x:c>
      <x:c r="K3" s="5" t="s">
        <x:v>189</x:v>
      </x:c>
      <x:c r="L3" s="5" t="str">
        <x:v>-</x:v>
      </x:c>
      <x:c r="M3" s="5" t="s">
        <x:v>14</x:v>
      </x:c>
      <x:c r="N3" s="5" t="str">
        <x:v>Ca kiểm thử bám đúng đặc tả, có dữ liệu và oracle kiểm tra được. Không cần chỉnh sửa.</x:v>
      </x:c>
      <x:c r="O3" s="5" t="s">
        <x:v>190</x:v>
      </x:c>
      <x:c r="P3" s="5" t="s">
        <x:v>46</x:v>
      </x:c>
      <x:c r="Q3" s="5" t="str">
        <x:v>BUG-FR09-01</x:v>
      </x:c>
    </x:row>
    <x:row r="4" ht="27.600000381469727">
      <x:c r="A4" s="5" t="s">
        <x:v>191</x:v>
      </x:c>
      <x:c r="B4" s="5" t="s">
        <x:v>7</x:v>
      </x:c>
      <x:c r="C4" s="5" t="s">
        <x:v>37</x:v>
      </x:c>
      <x:c r="D4" s="5" t="s">
        <x:v>192</x:v>
      </x:c>
      <x:c r="E4" s="5" t="s">
        <x:v>39</x:v>
      </x:c>
      <x:c r="F4" s="5" t="s">
        <x:v>186</x:v>
      </x:c>
      <x:c r="G4" s="5" t="s">
        <x:v>187</x:v>
      </x:c>
      <x:c r="H4" s="5" t="s">
        <x:v>42</x:v>
      </x:c>
      <x:c r="I4" s="5" t="s">
        <x:v>193</x:v>
      </x:c>
      <x:c r="J4" s="6">
        <x:v>200</x:v>
      </x:c>
      <x:c r="K4" s="5" t="s">
        <x:v>194</x:v>
      </x:c>
      <x:c r="L4" s="5" t="str">
        <x:v>-</x:v>
      </x:c>
      <x:c r="M4" s="5" t="s">
        <x:v>14</x:v>
      </x:c>
      <x:c r="N4" s="5" t="str">
        <x:v>Ca kiểm thử bám đúng đặc tả, có dữ liệu và oracle kiểm tra được. Không cần chỉnh sửa.</x:v>
      </x:c>
      <x:c r="O4" s="5" t="s">
        <x:v>88</x:v>
      </x:c>
      <x:c r="P4" s="5" t="s">
        <x:v>56</x:v>
      </x:c>
      <x:c r="Q4" s="5" t="str">
        <x:v>-</x:v>
      </x:c>
    </x:row>
    <x:row r="5" ht="27.600000381469727">
      <x:c r="A5" s="5" t="s">
        <x:v>195</x:v>
      </x:c>
      <x:c r="B5" s="5" t="s">
        <x:v>7</x:v>
      </x:c>
      <x:c r="C5" s="5" t="s">
        <x:v>37</x:v>
      </x:c>
      <x:c r="D5" s="5" t="s">
        <x:v>196</x:v>
      </x:c>
      <x:c r="E5" s="5" t="s">
        <x:v>39</x:v>
      </x:c>
      <x:c r="F5" s="5" t="s">
        <x:v>186</x:v>
      </x:c>
      <x:c r="G5" s="5" t="s">
        <x:v>187</x:v>
      </x:c>
      <x:c r="H5" s="5" t="s">
        <x:v>42</x:v>
      </x:c>
      <x:c r="I5" s="5" t="s">
        <x:v>197</x:v>
      </x:c>
      <x:c r="J5" s="6">
        <x:v>200</x:v>
      </x:c>
      <x:c r="K5" s="5" t="s">
        <x:v>194</x:v>
      </x:c>
      <x:c r="L5" s="5" t="str">
        <x:v>-</x:v>
      </x:c>
      <x:c r="M5" s="5" t="s">
        <x:v>14</x:v>
      </x:c>
      <x:c r="N5" s="5" t="str">
        <x:v>Ca kiểm thử bám đúng đặc tả, có dữ liệu và oracle kiểm tra được. Không cần chỉnh sửa.</x:v>
      </x:c>
      <x:c r="O5" s="5" t="s">
        <x:v>88</x:v>
      </x:c>
      <x:c r="P5" s="5" t="s">
        <x:v>56</x:v>
      </x:c>
      <x:c r="Q5" s="5" t="str">
        <x:v>-</x:v>
      </x:c>
    </x:row>
    <x:row r="6" ht="27.600000381469727">
      <x:c r="A6" s="5" t="s">
        <x:v>198</x:v>
      </x:c>
      <x:c r="B6" s="5" t="s">
        <x:v>7</x:v>
      </x:c>
      <x:c r="C6" s="5" t="s">
        <x:v>154</x:v>
      </x:c>
      <x:c r="D6" s="5" t="s">
        <x:v>199</x:v>
      </x:c>
      <x:c r="E6" s="5" t="s">
        <x:v>39</x:v>
      </x:c>
      <x:c r="F6" s="5" t="s">
        <x:v>186</x:v>
      </x:c>
      <x:c r="G6" s="5" t="s">
        <x:v>187</x:v>
      </x:c>
      <x:c r="H6" s="5" t="s">
        <x:v>42</x:v>
      </x:c>
      <x:c r="I6" s="5" t="s">
        <x:v>200</x:v>
      </x:c>
      <x:c r="J6" s="6">
        <x:v>400</x:v>
      </x:c>
      <x:c r="K6" s="5" t="s">
        <x:v>54</x:v>
      </x:c>
      <x:c r="L6" s="5" t="str">
        <x:v>-</x:v>
      </x:c>
      <x:c r="M6" s="5" t="s">
        <x:v>14</x:v>
      </x:c>
      <x:c r="N6" s="5" t="str">
        <x:v>Ca kiểm thử bám đúng đặc tả, có dữ liệu và oracle kiểm tra được. Không cần chỉnh sửa.</x:v>
      </x:c>
      <x:c r="O6" s="5" t="s">
        <x:v>100</x:v>
      </x:c>
      <x:c r="P6" s="5" t="s">
        <x:v>56</x:v>
      </x:c>
      <x:c r="Q6" s="5" t="str">
        <x:v>-</x:v>
      </x:c>
    </x:row>
    <x:row r="7" ht="27.600000381469727">
      <x:c r="A7" s="5" t="s">
        <x:v>201</x:v>
      </x:c>
      <x:c r="B7" s="5" t="s">
        <x:v>7</x:v>
      </x:c>
      <x:c r="C7" s="5" t="s">
        <x:v>37</x:v>
      </x:c>
      <x:c r="D7" s="5" t="s">
        <x:v>202</x:v>
      </x:c>
      <x:c r="E7" s="5" t="s">
        <x:v>39</x:v>
      </x:c>
      <x:c r="F7" s="5" t="s">
        <x:v>186</x:v>
      </x:c>
      <x:c r="G7" s="5" t="s">
        <x:v>187</x:v>
      </x:c>
      <x:c r="H7" s="5" t="s">
        <x:v>42</x:v>
      </x:c>
      <x:c r="I7" s="5" t="s">
        <x:v>203</x:v>
      </x:c>
      <x:c r="J7" s="6">
        <x:v>404</x:v>
      </x:c>
      <x:c r="K7" s="5" t="s">
        <x:v>54</x:v>
      </x:c>
      <x:c r="L7" s="5" t="str">
        <x:v>-</x:v>
      </x:c>
      <x:c r="M7" s="5" t="s">
        <x:v>14</x:v>
      </x:c>
      <x:c r="N7" s="5" t="str">
        <x:v>Ca kiểm thử bám đúng đặc tả, có dữ liệu và oracle kiểm tra được. Không cần chỉnh sửa.</x:v>
      </x:c>
      <x:c r="O7" s="5" t="s">
        <x:v>55</x:v>
      </x:c>
      <x:c r="P7" s="5" t="s">
        <x:v>56</x:v>
      </x:c>
      <x:c r="Q7" s="5" t="str">
        <x:v>-</x:v>
      </x:c>
    </x:row>
    <x:row r="8" ht="27.600000381469727">
      <x:c r="A8" s="5" t="s">
        <x:v>204</x:v>
      </x:c>
      <x:c r="B8" s="5" t="s">
        <x:v>7</x:v>
      </x:c>
      <x:c r="C8" s="5" t="s">
        <x:v>58</x:v>
      </x:c>
      <x:c r="D8" s="5" t="s">
        <x:v>205</x:v>
      </x:c>
      <x:c r="E8" s="5" t="s">
        <x:v>39</x:v>
      </x:c>
      <x:c r="F8" s="5" t="s">
        <x:v>186</x:v>
      </x:c>
      <x:c r="G8" s="5" t="s">
        <x:v>187</x:v>
      </x:c>
      <x:c r="H8" s="5" t="s">
        <x:v>42</x:v>
      </x:c>
      <x:c r="I8" s="5" t="s">
        <x:v>206</x:v>
      </x:c>
      <x:c r="J8" s="6">
        <x:v>400</x:v>
      </x:c>
      <x:c r="K8" s="5" t="s">
        <x:v>54</x:v>
      </x:c>
      <x:c r="L8" s="5" t="str">
        <x:v>-</x:v>
      </x:c>
      <x:c r="M8" s="5" t="s">
        <x:v>14</x:v>
      </x:c>
      <x:c r="N8" s="5" t="str">
        <x:v>Ca kiểm thử bám đúng đặc tả, có dữ liệu và oracle kiểm tra được. Không cần chỉnh sửa.</x:v>
      </x:c>
      <x:c r="O8" s="5" t="s">
        <x:v>100</x:v>
      </x:c>
      <x:c r="P8" s="5" t="s">
        <x:v>56</x:v>
      </x:c>
      <x:c r="Q8" s="5" t="str">
        <x:v>-</x:v>
      </x:c>
    </x:row>
    <x:row r="9" ht="41.400001525878906">
      <x:c r="A9" s="5" t="s">
        <x:v>207</x:v>
      </x:c>
      <x:c r="B9" s="5" t="s">
        <x:v>7</x:v>
      </x:c>
      <x:c r="C9" s="5" t="s">
        <x:v>58</x:v>
      </x:c>
      <x:c r="D9" s="5" t="s">
        <x:v>208</x:v>
      </x:c>
      <x:c r="E9" s="5" t="s">
        <x:v>39</x:v>
      </x:c>
      <x:c r="F9" s="5" t="s">
        <x:v>186</x:v>
      </x:c>
      <x:c r="G9" s="5" t="s">
        <x:v>187</x:v>
      </x:c>
      <x:c r="H9" s="5" t="s">
        <x:v>42</x:v>
      </x:c>
      <x:c r="I9" s="5" t="s">
        <x:v>209</x:v>
      </x:c>
      <x:c r="J9" s="6">
        <x:v>400</x:v>
      </x:c>
      <x:c r="K9" s="5" t="s">
        <x:v>54</x:v>
      </x:c>
      <x:c r="L9" s="5" t="str">
        <x:v>-</x:v>
      </x:c>
      <x:c r="M9" s="5" t="s">
        <x:v>16</x:v>
      </x:c>
      <x:c r="N9" s="5" t="str">
        <x:v>Bản AI ban đầu thiếu assertion schema hoặc hậu điều kiện có thể quan sát. Đã bổ sung expected keys và assertion nghiệp vụ tương ứng.</x:v>
      </x:c>
      <x:c r="O9" s="5" t="s">
        <x:v>100</x:v>
      </x:c>
      <x:c r="P9" s="5" t="s">
        <x:v>56</x:v>
      </x:c>
      <x:c r="Q9" s="5" t="str">
        <x:v>-</x:v>
      </x:c>
    </x:row>
    <x:row r="10" ht="27.600000381469727">
      <x:c r="A10" s="5" t="s">
        <x:v>210</x:v>
      </x:c>
      <x:c r="B10" s="5" t="s">
        <x:v>7</x:v>
      </x:c>
      <x:c r="C10" s="5" t="s">
        <x:v>58</x:v>
      </x:c>
      <x:c r="D10" s="5" t="s">
        <x:v>211</x:v>
      </x:c>
      <x:c r="E10" s="5" t="s">
        <x:v>39</x:v>
      </x:c>
      <x:c r="F10" s="5" t="s">
        <x:v>186</x:v>
      </x:c>
      <x:c r="G10" s="5" t="s">
        <x:v>187</x:v>
      </x:c>
      <x:c r="H10" s="5" t="s">
        <x:v>42</x:v>
      </x:c>
      <x:c r="I10" s="5" t="s">
        <x:v>212</x:v>
      </x:c>
      <x:c r="J10" s="6">
        <x:v>400</x:v>
      </x:c>
      <x:c r="K10" s="5" t="s">
        <x:v>54</x:v>
      </x:c>
      <x:c r="L10" s="5" t="str">
        <x:v>-</x:v>
      </x:c>
      <x:c r="M10" s="5" t="s">
        <x:v>14</x:v>
      </x:c>
      <x:c r="N10" s="5" t="str">
        <x:v>Ca kiểm thử bám đúng đặc tả, có dữ liệu và oracle kiểm tra được. Không cần chỉnh sửa.</x:v>
      </x:c>
      <x:c r="O10" s="5" t="s">
        <x:v>61</x:v>
      </x:c>
      <x:c r="P10" s="5" t="s">
        <x:v>46</x:v>
      </x:c>
      <x:c r="Q10" s="5" t="str">
        <x:v>REVIEW</x:v>
      </x:c>
    </x:row>
    <x:row r="11" ht="27.600000381469727">
      <x:c r="A11" s="5" t="s">
        <x:v>213</x:v>
      </x:c>
      <x:c r="B11" s="5" t="s">
        <x:v>7</x:v>
      </x:c>
      <x:c r="C11" s="5" t="s">
        <x:v>58</x:v>
      </x:c>
      <x:c r="D11" s="5" t="s">
        <x:v>214</x:v>
      </x:c>
      <x:c r="E11" s="5" t="s">
        <x:v>39</x:v>
      </x:c>
      <x:c r="F11" s="5" t="s">
        <x:v>186</x:v>
      </x:c>
      <x:c r="G11" s="5" t="s">
        <x:v>187</x:v>
      </x:c>
      <x:c r="H11" s="5" t="s">
        <x:v>42</x:v>
      </x:c>
      <x:c r="I11" s="5" t="s">
        <x:v>215</x:v>
      </x:c>
      <x:c r="J11" s="6">
        <x:v>404</x:v>
      </x:c>
      <x:c r="K11" s="5" t="s">
        <x:v>54</x:v>
      </x:c>
      <x:c r="L11" s="5" t="str">
        <x:v>-</x:v>
      </x:c>
      <x:c r="M11" s="5" t="s">
        <x:v>14</x:v>
      </x:c>
      <x:c r="N11" s="5" t="str">
        <x:v>Ca kiểm thử bám đúng đặc tả, có dữ liệu và oracle kiểm tra được. Không cần chỉnh sửa.</x:v>
      </x:c>
      <x:c r="O11" s="5" t="s">
        <x:v>55</x:v>
      </x:c>
      <x:c r="P11" s="5" t="s">
        <x:v>56</x:v>
      </x:c>
      <x:c r="Q11" s="5" t="str">
        <x:v>-</x:v>
      </x:c>
    </x:row>
    <x:row r="12" ht="27.600000381469727">
      <x:c r="A12" s="5" t="s">
        <x:v>216</x:v>
      </x:c>
      <x:c r="B12" s="5" t="s">
        <x:v>7</x:v>
      </x:c>
      <x:c r="C12" s="5" t="s">
        <x:v>78</x:v>
      </x:c>
      <x:c r="D12" s="5" t="s">
        <x:v>217</x:v>
      </x:c>
      <x:c r="E12" s="5" t="s">
        <x:v>39</x:v>
      </x:c>
      <x:c r="F12" s="5" t="s">
        <x:v>186</x:v>
      </x:c>
      <x:c r="G12" s="5" t="s">
        <x:v>187</x:v>
      </x:c>
      <x:c r="H12" s="5" t="s">
        <x:v>42</x:v>
      </x:c>
      <x:c r="I12" s="5" t="s">
        <x:v>218</x:v>
      </x:c>
      <x:c r="J12" s="6">
        <x:v>404</x:v>
      </x:c>
      <x:c r="K12" s="5" t="s">
        <x:v>54</x:v>
      </x:c>
      <x:c r="L12" s="5" t="str">
        <x:v>SEC-05</x:v>
      </x:c>
      <x:c r="M12" s="5" t="s">
        <x:v>14</x:v>
      </x:c>
      <x:c r="N12" s="5" t="str">
        <x:v>Ca kiểm thử bám đúng đặc tả, có dữ liệu và oracle kiểm tra được. Không cần chỉnh sửa.</x:v>
      </x:c>
      <x:c r="O12" s="5" t="s">
        <x:v>55</x:v>
      </x:c>
      <x:c r="P12" s="5" t="s">
        <x:v>56</x:v>
      </x:c>
      <x:c r="Q12" s="5" t="str">
        <x:v>-</x:v>
      </x:c>
    </x:row>
    <x:row r="13" ht="82.80000305175781">
      <x:c r="A13" s="5" t="s">
        <x:v>219</x:v>
      </x:c>
      <x:c r="B13" s="5" t="s">
        <x:v>7</x:v>
      </x:c>
      <x:c r="C13" s="5" t="s">
        <x:v>90</x:v>
      </x:c>
      <x:c r="D13" s="5" t="s">
        <x:v>220</x:v>
      </x:c>
      <x:c r="E13" s="5" t="s">
        <x:v>39</x:v>
      </x:c>
      <x:c r="F13" s="5" t="s">
        <x:v>186</x:v>
      </x:c>
      <x:c r="G13" s="5" t="s">
        <x:v>187</x:v>
      </x:c>
      <x:c r="H13" s="5" t="s">
        <x:v>42</x:v>
      </x:c>
      <x:c r="I13" s="5" t="s">
        <x:v>221</x:v>
      </x:c>
      <x:c r="J13" s="6">
        <x:v>200</x:v>
      </x:c>
      <x:c r="K13" s="5" t="s">
        <x:v>189</x:v>
      </x:c>
      <x:c r="L13" s="5" t="str">
        <x:v>-</x:v>
      </x:c>
      <x:c r="M13" s="5" t="s">
        <x:v>15</x:v>
      </x:c>
      <x:c r="N13" s="5" t="str">
        <x:v>Bản AI ban đầu suy đoán oracle theo hành vi phổ biến thay vì truy vết SRS. Đã thay oracle bằng status/ràng buộc trong SRS và bổ sung liên kết FR/SEC.</x:v>
      </x:c>
      <x:c r="O13" s="5" t="s">
        <x:v>222</x:v>
      </x:c>
      <x:c r="P13" s="5" t="s">
        <x:v>46</x:v>
      </x:c>
      <x:c r="Q13" s="5" t="str">
        <x:v>BUG-FR09-02</x:v>
      </x:c>
    </x:row>
    <x:row r="14" ht="27.600000381469727">
      <x:c r="A14" s="5" t="s">
        <x:v>223</x:v>
      </x:c>
      <x:c r="B14" s="5" t="s">
        <x:v>7</x:v>
      </x:c>
      <x:c r="C14" s="5" t="s">
        <x:v>90</x:v>
      </x:c>
      <x:c r="D14" s="5" t="s">
        <x:v>224</x:v>
      </x:c>
      <x:c r="E14" s="5" t="s">
        <x:v>39</x:v>
      </x:c>
      <x:c r="F14" s="5" t="s">
        <x:v>186</x:v>
      </x:c>
      <x:c r="G14" s="5" t="s">
        <x:v>187</x:v>
      </x:c>
      <x:c r="H14" s="5" t="s">
        <x:v>42</x:v>
      </x:c>
      <x:c r="I14" s="5" t="s">
        <x:v>225</x:v>
      </x:c>
      <x:c r="J14" s="6">
        <x:v>400</x:v>
      </x:c>
      <x:c r="K14" s="5" t="s">
        <x:v>54</x:v>
      </x:c>
      <x:c r="L14" s="5" t="str">
        <x:v>-</x:v>
      </x:c>
      <x:c r="M14" s="5" t="s">
        <x:v>14</x:v>
      </x:c>
      <x:c r="N14" s="5" t="str">
        <x:v>Ca kiểm thử bám đúng đặc tả, có dữ liệu và oracle kiểm tra được. Không cần chỉnh sửa.</x:v>
      </x:c>
      <x:c r="O14" s="5" t="s">
        <x:v>100</x:v>
      </x:c>
      <x:c r="P14" s="5" t="s">
        <x:v>56</x:v>
      </x:c>
      <x:c r="Q14" s="5" t="str">
        <x:v>-</x:v>
      </x:c>
    </x:row>
    <x:row r="15" ht="27.600000381469727">
      <x:c r="A15" s="5" t="s">
        <x:v>226</x:v>
      </x:c>
      <x:c r="B15" s="5" t="s">
        <x:v>7</x:v>
      </x:c>
      <x:c r="C15" s="5" t="s">
        <x:v>90</x:v>
      </x:c>
      <x:c r="D15" s="5" t="s">
        <x:v>227</x:v>
      </x:c>
      <x:c r="E15" s="5" t="s">
        <x:v>39</x:v>
      </x:c>
      <x:c r="F15" s="5" t="s">
        <x:v>186</x:v>
      </x:c>
      <x:c r="G15" s="5" t="s">
        <x:v>187</x:v>
      </x:c>
      <x:c r="H15" s="5" t="s">
        <x:v>42</x:v>
      </x:c>
      <x:c r="I15" s="5" t="s">
        <x:v>228</x:v>
      </x:c>
      <x:c r="J15" s="6">
        <x:v>200</x:v>
      </x:c>
      <x:c r="K15" s="5" t="s">
        <x:v>189</x:v>
      </x:c>
      <x:c r="L15" s="5" t="str">
        <x:v>-</x:v>
      </x:c>
      <x:c r="M15" s="5" t="s">
        <x:v>14</x:v>
      </x:c>
      <x:c r="N15" s="5" t="str">
        <x:v>Ca kiểm thử bám đúng đặc tả, có dữ liệu và oracle kiểm tra được. Không cần chỉnh sửa.</x:v>
      </x:c>
      <x:c r="O15" s="5" t="s">
        <x:v>229</x:v>
      </x:c>
      <x:c r="P15" s="5" t="s">
        <x:v>46</x:v>
      </x:c>
      <x:c r="Q15" s="5" t="str">
        <x:v>BUG-FR09-01</x:v>
      </x:c>
    </x:row>
    <x:row r="16" ht="82.80000305175781">
      <x:c r="A16" s="5" t="s">
        <x:v>230</x:v>
      </x:c>
      <x:c r="B16" s="5" t="s">
        <x:v>7</x:v>
      </x:c>
      <x:c r="C16" s="5" t="s">
        <x:v>90</x:v>
      </x:c>
      <x:c r="D16" s="5" t="s">
        <x:v>231</x:v>
      </x:c>
      <x:c r="E16" s="5" t="s">
        <x:v>39</x:v>
      </x:c>
      <x:c r="F16" s="5" t="s">
        <x:v>186</x:v>
      </x:c>
      <x:c r="G16" s="5" t="s">
        <x:v>187</x:v>
      </x:c>
      <x:c r="H16" s="5" t="s">
        <x:v>42</x:v>
      </x:c>
      <x:c r="I16" s="5" t="s">
        <x:v>232</x:v>
      </x:c>
      <x:c r="J16" s="6">
        <x:v>200</x:v>
      </x:c>
      <x:c r="K16" s="5" t="s">
        <x:v>194</x:v>
      </x:c>
      <x:c r="L16" s="5" t="str">
        <x:v>-</x:v>
      </x:c>
      <x:c r="M16" s="5" t="s">
        <x:v>16</x:v>
      </x:c>
      <x:c r="N16" s="5" t="str">
        <x:v>Bản AI ban đầu thiếu assertion schema hoặc hậu điều kiện có thể quan sát. Đã bổ sung expected keys và assertion nghiệp vụ tương ứng.</x:v>
      </x:c>
      <x:c r="O16" s="5" t="s">
        <x:v>233</x:v>
      </x:c>
      <x:c r="P16" s="5" t="s">
        <x:v>46</x:v>
      </x:c>
      <x:c r="Q16" s="5" t="str">
        <x:v>BUG-FR09-02</x:v>
      </x:c>
    </x:row>
    <x:row r="17" ht="27.600000381469727">
      <x:c r="A17" s="5" t="s">
        <x:v>234</x:v>
      </x:c>
      <x:c r="B17" s="5" t="s">
        <x:v>7</x:v>
      </x:c>
      <x:c r="C17" s="5" t="s">
        <x:v>58</x:v>
      </x:c>
      <x:c r="D17" s="5" t="s">
        <x:v>235</x:v>
      </x:c>
      <x:c r="E17" s="5" t="s">
        <x:v>39</x:v>
      </x:c>
      <x:c r="F17" s="5" t="s">
        <x:v>186</x:v>
      </x:c>
      <x:c r="G17" s="5" t="s">
        <x:v>187</x:v>
      </x:c>
      <x:c r="H17" s="5" t="s">
        <x:v>42</x:v>
      </x:c>
      <x:c r="I17" s="5" t="s">
        <x:v>236</x:v>
      </x:c>
      <x:c r="J17" s="6">
        <x:v>400</x:v>
      </x:c>
      <x:c r="K17" s="5" t="s">
        <x:v>54</x:v>
      </x:c>
      <x:c r="L17" s="5" t="str">
        <x:v>-</x:v>
      </x:c>
      <x:c r="M17" s="5" t="s">
        <x:v>14</x:v>
      </x:c>
      <x:c r="N17" s="5" t="str">
        <x:v>Ca kiểm thử bám đúng đặc tả, có dữ liệu và oracle kiểm tra được. Không cần chỉnh sửa.</x:v>
      </x:c>
      <x:c r="O17" s="5" t="s">
        <x:v>100</x:v>
      </x:c>
      <x:c r="P17" s="5" t="s">
        <x:v>56</x:v>
      </x:c>
      <x:c r="Q17" s="5" t="str">
        <x:v>-</x:v>
      </x:c>
    </x:row>
    <x:row r="18" ht="27.600000381469727">
      <x:c r="A18" s="5" t="s">
        <x:v>237</x:v>
      </x:c>
      <x:c r="B18" s="5" t="s">
        <x:v>7</x:v>
      </x:c>
      <x:c r="C18" s="5" t="s">
        <x:v>58</x:v>
      </x:c>
      <x:c r="D18" s="5" t="s">
        <x:v>238</x:v>
      </x:c>
      <x:c r="E18" s="5" t="s">
        <x:v>39</x:v>
      </x:c>
      <x:c r="F18" s="5" t="s">
        <x:v>186</x:v>
      </x:c>
      <x:c r="G18" s="5" t="s">
        <x:v>187</x:v>
      </x:c>
      <x:c r="H18" s="5" t="s">
        <x:v>42</x:v>
      </x:c>
      <x:c r="I18" s="5" t="s">
        <x:v>239</x:v>
      </x:c>
      <x:c r="J18" s="6">
        <x:v>400</x:v>
      </x:c>
      <x:c r="K18" s="5" t="s">
        <x:v>54</x:v>
      </x:c>
      <x:c r="L18" s="5" t="str">
        <x:v>-</x:v>
      </x:c>
      <x:c r="M18" s="5" t="s">
        <x:v>14</x:v>
      </x:c>
      <x:c r="N18" s="5" t="str">
        <x:v>Ca kiểm thử bám đúng đặc tả, có dữ liệu và oracle kiểm tra được. Không cần chỉnh sửa.</x:v>
      </x:c>
      <x:c r="O18" s="5" t="s">
        <x:v>100</x:v>
      </x:c>
      <x:c r="P18" s="5" t="s">
        <x:v>56</x:v>
      </x:c>
      <x:c r="Q18" s="5" t="str">
        <x:v>-</x:v>
      </x:c>
    </x:row>
    <x:row r="19" ht="27.600000381469727">
      <x:c r="A19" s="5" t="s">
        <x:v>240</x:v>
      </x:c>
      <x:c r="B19" s="5" t="s">
        <x:v>7</x:v>
      </x:c>
      <x:c r="C19" s="5" t="s">
        <x:v>58</x:v>
      </x:c>
      <x:c r="D19" s="5" t="s">
        <x:v>241</x:v>
      </x:c>
      <x:c r="E19" s="5" t="s">
        <x:v>39</x:v>
      </x:c>
      <x:c r="F19" s="5" t="s">
        <x:v>186</x:v>
      </x:c>
      <x:c r="G19" s="5" t="s">
        <x:v>187</x:v>
      </x:c>
      <x:c r="H19" s="5" t="s">
        <x:v>42</x:v>
      </x:c>
      <x:c r="I19" s="5" t="s">
        <x:v>242</x:v>
      </x:c>
      <x:c r="J19" s="6">
        <x:v>400</x:v>
      </x:c>
      <x:c r="K19" s="5" t="s">
        <x:v>54</x:v>
      </x:c>
      <x:c r="L19" s="5" t="str">
        <x:v>-</x:v>
      </x:c>
      <x:c r="M19" s="5" t="s">
        <x:v>14</x:v>
      </x:c>
      <x:c r="N19" s="5" t="str">
        <x:v>Ca kiểm thử bám đúng đặc tả, có dữ liệu và oracle kiểm tra được. Không cần chỉnh sửa.</x:v>
      </x:c>
      <x:c r="O19" s="5" t="s">
        <x:v>100</x:v>
      </x:c>
      <x:c r="P19" s="5" t="s">
        <x:v>56</x:v>
      </x:c>
      <x:c r="Q19" s="5" t="str">
        <x:v>-</x:v>
      </x:c>
    </x:row>
    <x:row r="20" ht="27.600000381469727">
      <x:c r="A20" s="5" t="s">
        <x:v>243</x:v>
      </x:c>
      <x:c r="B20" s="5" t="s">
        <x:v>7</x:v>
      </x:c>
      <x:c r="C20" s="5" t="s">
        <x:v>58</x:v>
      </x:c>
      <x:c r="D20" s="5" t="s">
        <x:v>244</x:v>
      </x:c>
      <x:c r="E20" s="5" t="s">
        <x:v>39</x:v>
      </x:c>
      <x:c r="F20" s="5" t="s">
        <x:v>186</x:v>
      </x:c>
      <x:c r="G20" s="5" t="s">
        <x:v>187</x:v>
      </x:c>
      <x:c r="H20" s="5" t="s">
        <x:v>42</x:v>
      </x:c>
      <x:c r="I20" s="5" t="s">
        <x:v>245</x:v>
      </x:c>
      <x:c r="J20" s="6">
        <x:v>400</x:v>
      </x:c>
      <x:c r="K20" s="5" t="s">
        <x:v>54</x:v>
      </x:c>
      <x:c r="L20" s="5" t="str">
        <x:v>-</x:v>
      </x:c>
      <x:c r="M20" s="5" t="s">
        <x:v>14</x:v>
      </x:c>
      <x:c r="N20" s="5" t="str">
        <x:v>Ca kiểm thử bám đúng đặc tả, có dữ liệu và oracle kiểm tra được. Không cần chỉnh sửa.</x:v>
      </x:c>
      <x:c r="O20" s="5" t="s">
        <x:v>100</x:v>
      </x:c>
      <x:c r="P20" s="5" t="s">
        <x:v>56</x:v>
      </x:c>
      <x:c r="Q20" s="5" t="str">
        <x:v>-</x:v>
      </x:c>
    </x:row>
    <x:row r="21" ht="41.400001525878906">
      <x:c r="A21" s="5" t="s">
        <x:v>246</x:v>
      </x:c>
      <x:c r="B21" s="5" t="s">
        <x:v>7</x:v>
      </x:c>
      <x:c r="C21" s="5" t="s">
        <x:v>58</x:v>
      </x:c>
      <x:c r="D21" s="5" t="s">
        <x:v>247</x:v>
      </x:c>
      <x:c r="E21" s="5" t="s">
        <x:v>39</x:v>
      </x:c>
      <x:c r="F21" s="5" t="s">
        <x:v>186</x:v>
      </x:c>
      <x:c r="G21" s="5" t="s">
        <x:v>187</x:v>
      </x:c>
      <x:c r="H21" s="5" t="s">
        <x:v>42</x:v>
      </x:c>
      <x:c r="I21" s="5" t="s">
        <x:v>248</x:v>
      </x:c>
      <x:c r="J21" s="6">
        <x:v>400</x:v>
      </x:c>
      <x:c r="K21" s="5" t="s">
        <x:v>54</x:v>
      </x:c>
      <x:c r="L21" s="5" t="str">
        <x:v>-</x:v>
      </x:c>
      <x:c r="M21" s="5" t="s">
        <x:v>14</x:v>
      </x:c>
      <x:c r="N21" s="5" t="str">
        <x:v>Ca kiểm thử bám đúng đặc tả, có dữ liệu và oracle kiểm tra được. Không cần chỉnh sửa.</x:v>
      </x:c>
      <x:c r="O21" s="5" t="s">
        <x:v>249</x:v>
      </x:c>
      <x:c r="P21" s="5" t="s">
        <x:v>46</x:v>
      </x:c>
      <x:c r="Q21" s="5" t="str">
        <x:v>BUG-FR09-04</x:v>
      </x:c>
    </x:row>
    <x:row r="22" ht="27.600000381469727">
      <x:c r="A22" s="5" t="s">
        <x:v>250</x:v>
      </x:c>
      <x:c r="B22" s="5" t="s">
        <x:v>7</x:v>
      </x:c>
      <x:c r="C22" s="5" t="s">
        <x:v>58</x:v>
      </x:c>
      <x:c r="D22" s="5" t="s">
        <x:v>251</x:v>
      </x:c>
      <x:c r="E22" s="5" t="s">
        <x:v>39</x:v>
      </x:c>
      <x:c r="F22" s="5" t="s">
        <x:v>186</x:v>
      </x:c>
      <x:c r="G22" s="5" t="s">
        <x:v>187</x:v>
      </x:c>
      <x:c r="H22" s="5" t="s">
        <x:v>42</x:v>
      </x:c>
      <x:c r="I22" s="5" t="s">
        <x:v>252</x:v>
      </x:c>
      <x:c r="J22" s="6">
        <x:v>400</x:v>
      </x:c>
      <x:c r="K22" s="5" t="s">
        <x:v>54</x:v>
      </x:c>
      <x:c r="L22" s="5" t="str">
        <x:v>-</x:v>
      </x:c>
      <x:c r="M22" s="5" t="s">
        <x:v>14</x:v>
      </x:c>
      <x:c r="N22" s="5" t="str">
        <x:v>Ca kiểm thử bám đúng đặc tả, có dữ liệu và oracle kiểm tra được. Không cần chỉnh sửa.</x:v>
      </x:c>
      <x:c r="O22" s="5" t="s">
        <x:v>100</x:v>
      </x:c>
      <x:c r="P22" s="5" t="s">
        <x:v>56</x:v>
      </x:c>
      <x:c r="Q22" s="5" t="str">
        <x:v>-</x:v>
      </x:c>
    </x:row>
    <x:row r="23" ht="41.400001525878906">
      <x:c r="A23" s="5" t="s">
        <x:v>253</x:v>
      </x:c>
      <x:c r="B23" s="5" t="s">
        <x:v>7</x:v>
      </x:c>
      <x:c r="C23" s="5" t="s">
        <x:v>90</x:v>
      </x:c>
      <x:c r="D23" s="5" t="s">
        <x:v>254</x:v>
      </x:c>
      <x:c r="E23" s="5" t="s">
        <x:v>39</x:v>
      </x:c>
      <x:c r="F23" s="5" t="s">
        <x:v>186</x:v>
      </x:c>
      <x:c r="G23" s="5" t="s">
        <x:v>187</x:v>
      </x:c>
      <x:c r="H23" s="5" t="s">
        <x:v>42</x:v>
      </x:c>
      <x:c r="I23" s="5" t="s">
        <x:v>255</x:v>
      </x:c>
      <x:c r="J23" s="6">
        <x:v>400</x:v>
      </x:c>
      <x:c r="K23" s="5" t="s">
        <x:v>54</x:v>
      </x:c>
      <x:c r="L23" s="5" t="str">
        <x:v>-</x:v>
      </x:c>
      <x:c r="M23" s="5" t="s">
        <x:v>16</x:v>
      </x:c>
      <x:c r="N23" s="5" t="str">
        <x:v>Bản AI ban đầu thiếu assertion schema hoặc hậu điều kiện có thể quan sát. Đã bổ sung expected keys và assertion nghiệp vụ tương ứng.</x:v>
      </x:c>
      <x:c r="O23" s="5" t="s">
        <x:v>249</x:v>
      </x:c>
      <x:c r="P23" s="5" t="s">
        <x:v>46</x:v>
      </x:c>
      <x:c r="Q23" s="5" t="str">
        <x:v>BUG-FR09-04</x:v>
      </x:c>
    </x:row>
    <x:row r="24" ht="41.400001525878906">
      <x:c r="A24" s="5" t="s">
        <x:v>256</x:v>
      </x:c>
      <x:c r="B24" s="5" t="s">
        <x:v>7</x:v>
      </x:c>
      <x:c r="C24" s="5" t="s">
        <x:v>90</x:v>
      </x:c>
      <x:c r="D24" s="5" t="s">
        <x:v>257</x:v>
      </x:c>
      <x:c r="E24" s="5" t="s">
        <x:v>39</x:v>
      </x:c>
      <x:c r="F24" s="5" t="s">
        <x:v>186</x:v>
      </x:c>
      <x:c r="G24" s="5" t="s">
        <x:v>187</x:v>
      </x:c>
      <x:c r="H24" s="5" t="s">
        <x:v>42</x:v>
      </x:c>
      <x:c r="I24" s="5" t="s">
        <x:v>258</x:v>
      </x:c>
      <x:c r="J24" s="6">
        <x:v>200</x:v>
      </x:c>
      <x:c r="K24" s="5" t="s">
        <x:v>194</x:v>
      </x:c>
      <x:c r="L24" s="5" t="str">
        <x:v>-</x:v>
      </x:c>
      <x:c r="M24" s="5" t="s">
        <x:v>15</x:v>
      </x:c>
      <x:c r="N24" s="5" t="str">
        <x:v>Bản AI ban đầu suy đoán oracle theo hành vi phổ biến thay vì truy vết SRS. Đã thay oracle bằng status/ràng buộc trong SRS và bổ sung liên kết FR/SEC.</x:v>
      </x:c>
      <x:c r="O24" s="5" t="s">
        <x:v>88</x:v>
      </x:c>
      <x:c r="P24" s="5" t="s">
        <x:v>56</x:v>
      </x:c>
      <x:c r="Q24" s="5" t="str">
        <x:v>-</x:v>
      </x:c>
    </x:row>
    <x:row r="25" ht="41.400001525878906">
      <x:c r="A25" s="5" t="s">
        <x:v>259</x:v>
      </x:c>
      <x:c r="B25" s="5" t="s">
        <x:v>7</x:v>
      </x:c>
      <x:c r="C25" s="5" t="s">
        <x:v>78</x:v>
      </x:c>
      <x:c r="D25" s="5" t="s">
        <x:v>260</x:v>
      </x:c>
      <x:c r="E25" s="5" t="s">
        <x:v>39</x:v>
      </x:c>
      <x:c r="F25" s="5" t="s">
        <x:v>186</x:v>
      </x:c>
      <x:c r="G25" s="5" t="s">
        <x:v>41</x:v>
      </x:c>
      <x:c r="H25" s="5" t="s">
        <x:v>42</x:v>
      </x:c>
      <x:c r="I25" s="5" t="s">
        <x:v>188</x:v>
      </x:c>
      <x:c r="J25" s="6">
        <x:v>401</x:v>
      </x:c>
      <x:c r="K25" s="5" t="s">
        <x:v>54</x:v>
      </x:c>
      <x:c r="L25" s="5" t="str">
        <x:v>SEC-02</x:v>
      </x:c>
      <x:c r="M25" s="5" t="s">
        <x:v>14</x:v>
      </x:c>
      <x:c r="N25" s="5" t="str">
        <x:v>Ca kiểm thử bám đúng đặc tả, có dữ liệu và oracle kiểm tra được. Không cần chỉnh sửa.</x:v>
      </x:c>
      <x:c r="O25" s="5" t="s">
        <x:v>261</x:v>
      </x:c>
      <x:c r="P25" s="5" t="s">
        <x:v>46</x:v>
      </x:c>
      <x:c r="Q25" s="5" t="str">
        <x:v>BUG-FR09-03</x:v>
      </x:c>
    </x:row>
    <x:row r="26" ht="41.400001525878906">
      <x:c r="A26" s="5" t="s">
        <x:v>262</x:v>
      </x:c>
      <x:c r="B26" s="5" t="s">
        <x:v>7</x:v>
      </x:c>
      <x:c r="C26" s="5" t="s">
        <x:v>78</x:v>
      </x:c>
      <x:c r="D26" s="5" t="s">
        <x:v>263</x:v>
      </x:c>
      <x:c r="E26" s="5" t="s">
        <x:v>39</x:v>
      </x:c>
      <x:c r="F26" s="5" t="s">
        <x:v>186</x:v>
      </x:c>
      <x:c r="G26" s="5" t="s">
        <x:v>264</x:v>
      </x:c>
      <x:c r="H26" s="5" t="s">
        <x:v>42</x:v>
      </x:c>
      <x:c r="I26" s="5" t="s">
        <x:v>188</x:v>
      </x:c>
      <x:c r="J26" s="6">
        <x:v>403</x:v>
      </x:c>
      <x:c r="K26" s="5" t="s">
        <x:v>54</x:v>
      </x:c>
      <x:c r="L26" s="5" t="str">
        <x:v>SEC-02</x:v>
      </x:c>
      <x:c r="M26" s="5" t="s">
        <x:v>14</x:v>
      </x:c>
      <x:c r="N26" s="5" t="str">
        <x:v>Ca kiểm thử bám đúng đặc tả, có dữ liệu và oracle kiểm tra được. Không cần chỉnh sửa.</x:v>
      </x:c>
      <x:c r="O26" s="5" t="s">
        <x:v>265</x:v>
      </x:c>
      <x:c r="P26" s="5" t="s">
        <x:v>46</x:v>
      </x:c>
      <x:c r="Q26" s="5" t="str">
        <x:v>BUG-FR09-03</x:v>
      </x:c>
    </x:row>
    <x:row r="27" ht="27.600000381469727">
      <x:c r="A27" s="5" t="s">
        <x:v>266</x:v>
      </x:c>
      <x:c r="B27" s="5" t="s">
        <x:v>7</x:v>
      </x:c>
      <x:c r="C27" s="5" t="s">
        <x:v>78</x:v>
      </x:c>
      <x:c r="D27" s="5" t="s">
        <x:v>267</x:v>
      </x:c>
      <x:c r="E27" s="5" t="s">
        <x:v>39</x:v>
      </x:c>
      <x:c r="F27" s="5" t="s">
        <x:v>186</x:v>
      </x:c>
      <x:c r="G27" s="5" t="s">
        <x:v>187</x:v>
      </x:c>
      <x:c r="H27" s="5" t="s">
        <x:v>42</x:v>
      </x:c>
      <x:c r="I27" s="5" t="s">
        <x:v>193</x:v>
      </x:c>
      <x:c r="J27" s="6">
        <x:v>200</x:v>
      </x:c>
      <x:c r="K27" s="5" t="s">
        <x:v>194</x:v>
      </x:c>
      <x:c r="L27" s="5" t="str">
        <x:v>SEC-02</x:v>
      </x:c>
      <x:c r="M27" s="5" t="s">
        <x:v>14</x:v>
      </x:c>
      <x:c r="N27" s="5" t="str">
        <x:v>Ca kiểm thử bám đúng đặc tả, có dữ liệu và oracle kiểm tra được. Không cần chỉnh sửa.</x:v>
      </x:c>
      <x:c r="O27" s="5" t="s">
        <x:v>88</x:v>
      </x:c>
      <x:c r="P27" s="5" t="s">
        <x:v>56</x:v>
      </x:c>
      <x:c r="Q27" s="5" t="str">
        <x:v>-</x:v>
      </x:c>
    </x:row>
    <x:row r="28" ht="27.600000381469727">
      <x:c r="A28" s="5" t="s">
        <x:v>268</x:v>
      </x:c>
      <x:c r="B28" s="5" t="s">
        <x:v>7</x:v>
      </x:c>
      <x:c r="C28" s="5" t="s">
        <x:v>58</x:v>
      </x:c>
      <x:c r="D28" s="5" t="s">
        <x:v>269</x:v>
      </x:c>
      <x:c r="E28" s="5" t="s">
        <x:v>39</x:v>
      </x:c>
      <x:c r="F28" s="5" t="s">
        <x:v>186</x:v>
      </x:c>
      <x:c r="G28" s="5" t="s">
        <x:v>187</x:v>
      </x:c>
      <x:c r="H28" s="5" t="s">
        <x:v>42</x:v>
      </x:c>
      <x:c r="I28" s="5" t="s">
        <x:v>270</x:v>
      </x:c>
      <x:c r="J28" s="6">
        <x:v>200</x:v>
      </x:c>
      <x:c r="K28" s="5" t="s">
        <x:v>271</x:v>
      </x:c>
      <x:c r="L28" s="5" t="str">
        <x:v>SEC-02</x:v>
      </x:c>
      <x:c r="M28" s="5" t="s">
        <x:v>14</x:v>
      </x:c>
      <x:c r="N28" s="5" t="str">
        <x:v>Ca kiểm thử bám đúng đặc tả, có dữ liệu và oracle kiểm tra được. Không cần chỉnh sửa.</x:v>
      </x:c>
      <x:c r="O28" s="5" t="s">
        <x:v>88</x:v>
      </x:c>
      <x:c r="P28" s="5" t="s">
        <x:v>56</x:v>
      </x:c>
      <x:c r="Q28" s="5" t="str">
        <x:v>-</x:v>
      </x:c>
    </x:row>
    <x:row r="29" ht="27.600000381469727">
      <x:c r="A29" s="5" t="s">
        <x:v>272</x:v>
      </x:c>
      <x:c r="B29" s="5" t="s">
        <x:v>7</x:v>
      </x:c>
      <x:c r="C29" s="5" t="s">
        <x:v>78</x:v>
      </x:c>
      <x:c r="D29" s="5" t="s">
        <x:v>273</x:v>
      </x:c>
      <x:c r="E29" s="5" t="s">
        <x:v>39</x:v>
      </x:c>
      <x:c r="F29" s="5" t="s">
        <x:v>186</x:v>
      </x:c>
      <x:c r="G29" s="5" t="s">
        <x:v>187</x:v>
      </x:c>
      <x:c r="H29" s="5" t="s">
        <x:v>42</x:v>
      </x:c>
      <x:c r="I29" s="5" t="s">
        <x:v>274</x:v>
      </x:c>
      <x:c r="J29" s="6">
        <x:v>200</x:v>
      </x:c>
      <x:c r="K29" s="5" t="s">
        <x:v>271</x:v>
      </x:c>
      <x:c r="L29" s="5" t="str">
        <x:v>SEC-02</x:v>
      </x:c>
      <x:c r="M29" s="5" t="s">
        <x:v>14</x:v>
      </x:c>
      <x:c r="N29" s="5" t="str">
        <x:v>Ca kiểm thử bám đúng đặc tả, có dữ liệu và oracle kiểm tra được. Không cần chỉnh sửa.</x:v>
      </x:c>
      <x:c r="O29" s="5" t="s">
        <x:v>88</x:v>
      </x:c>
      <x:c r="P29" s="5" t="s">
        <x:v>56</x:v>
      </x:c>
      <x:c r="Q29" s="5" t="str">
        <x:v>-</x:v>
      </x:c>
    </x:row>
    <x:row r="30" ht="41.400001525878906">
      <x:c r="A30" s="5" t="s">
        <x:v>275</x:v>
      </x:c>
      <x:c r="B30" s="5" t="s">
        <x:v>7</x:v>
      </x:c>
      <x:c r="C30" s="5" t="s">
        <x:v>58</x:v>
      </x:c>
      <x:c r="D30" s="5" t="s">
        <x:v>276</x:v>
      </x:c>
      <x:c r="E30" s="5" t="s">
        <x:v>39</x:v>
      </x:c>
      <x:c r="F30" s="5" t="s">
        <x:v>186</x:v>
      </x:c>
      <x:c r="G30" s="5" t="s">
        <x:v>187</x:v>
      </x:c>
      <x:c r="H30" s="5" t="s">
        <x:v>42</x:v>
      </x:c>
      <x:c r="I30" s="5" t="s">
        <x:v>277</x:v>
      </x:c>
      <x:c r="J30" s="6">
        <x:v>400</x:v>
      </x:c>
      <x:c r="K30" s="5" t="s">
        <x:v>54</x:v>
      </x:c>
      <x:c r="L30" s="5" t="str">
        <x:v>-</x:v>
      </x:c>
      <x:c r="M30" s="5" t="s">
        <x:v>16</x:v>
      </x:c>
      <x:c r="N30" s="5" t="str">
        <x:v>Bản AI ban đầu thiếu assertion schema hoặc hậu điều kiện có thể quan sát. Đã bổ sung expected keys và assertion nghiệp vụ tương ứng.</x:v>
      </x:c>
      <x:c r="O30" s="5" t="s">
        <x:v>278</x:v>
      </x:c>
      <x:c r="P30" s="5" t="s">
        <x:v>46</x:v>
      </x:c>
      <x:c r="Q30" s="5" t="str">
        <x:v>BUG-FR09-04</x:v>
      </x:c>
    </x:row>
    <x:row r="31" ht="41.400001525878906">
      <x:c r="A31" s="5" t="s">
        <x:v>279</x:v>
      </x:c>
      <x:c r="B31" s="5" t="s">
        <x:v>7</x:v>
      </x:c>
      <x:c r="C31" s="5" t="s">
        <x:v>58</x:v>
      </x:c>
      <x:c r="D31" s="5" t="s">
        <x:v>280</x:v>
      </x:c>
      <x:c r="E31" s="5" t="s">
        <x:v>39</x:v>
      </x:c>
      <x:c r="F31" s="5" t="s">
        <x:v>186</x:v>
      </x:c>
      <x:c r="G31" s="5" t="s">
        <x:v>187</x:v>
      </x:c>
      <x:c r="H31" s="5" t="s">
        <x:v>42</x:v>
      </x:c>
      <x:c r="I31" s="5" t="s">
        <x:v>281</x:v>
      </x:c>
      <x:c r="J31" s="6">
        <x:v>400</x:v>
      </x:c>
      <x:c r="K31" s="5" t="s">
        <x:v>54</x:v>
      </x:c>
      <x:c r="L31" s="5" t="str">
        <x:v>-</x:v>
      </x:c>
      <x:c r="M31" s="5" t="s">
        <x:v>14</x:v>
      </x:c>
      <x:c r="N31" s="5" t="str">
        <x:v>Ca kiểm thử bám đúng đặc tả, có dữ liệu và oracle kiểm tra được. Không cần chỉnh sửa.</x:v>
      </x:c>
      <x:c r="O31" s="5" t="s">
        <x:v>278</x:v>
      </x:c>
      <x:c r="P31" s="5" t="s">
        <x:v>46</x:v>
      </x:c>
      <x:c r="Q31" s="5" t="str">
        <x:v>BUG-FR09-04</x:v>
      </x:c>
    </x:row>
    <x:row r="32" ht="27.600000381469727">
      <x:c r="A32" s="5" t="s">
        <x:v>282</x:v>
      </x:c>
      <x:c r="B32" s="5" t="s">
        <x:v>7</x:v>
      </x:c>
      <x:c r="C32" s="5" t="s">
        <x:v>154</x:v>
      </x:c>
      <x:c r="D32" s="5" t="s">
        <x:v>283</x:v>
      </x:c>
      <x:c r="E32" s="5" t="s">
        <x:v>39</x:v>
      </x:c>
      <x:c r="F32" s="5" t="s">
        <x:v>186</x:v>
      </x:c>
      <x:c r="G32" s="5" t="s">
        <x:v>187</x:v>
      </x:c>
      <x:c r="H32" s="5" t="s">
        <x:v>42</x:v>
      </x:c>
      <x:c r="I32" s="5" t="s">
        <x:v>188</x:v>
      </x:c>
      <x:c r="J32" s="6">
        <x:v>400</x:v>
      </x:c>
      <x:c r="K32" s="5" t="s">
        <x:v>54</x:v>
      </x:c>
      <x:c r="L32" s="5" t="str">
        <x:v>-</x:v>
      </x:c>
      <x:c r="M32" s="5" t="s">
        <x:v>14</x:v>
      </x:c>
      <x:c r="N32" s="5" t="str">
        <x:v>Ca kiểm thử bám đúng đặc tả, có dữ liệu và oracle kiểm tra được. Không cần chỉnh sửa.</x:v>
      </x:c>
      <x:c r="O32" s="5" t="s">
        <x:v>100</x:v>
      </x:c>
      <x:c r="P32" s="5" t="s">
        <x:v>56</x:v>
      </x:c>
      <x:c r="Q32" s="5" t="str">
        <x:v>-</x:v>
      </x:c>
    </x:row>
    <x:row r="33" ht="27.600000381469727">
      <x:c r="A33" s="5" t="s">
        <x:v>284</x:v>
      </x:c>
      <x:c r="B33" s="5" t="s">
        <x:v>7</x:v>
      </x:c>
      <x:c r="C33" s="5" t="s">
        <x:v>154</x:v>
      </x:c>
      <x:c r="D33" s="5" t="s">
        <x:v>285</x:v>
      </x:c>
      <x:c r="E33" s="5" t="s">
        <x:v>39</x:v>
      </x:c>
      <x:c r="F33" s="5" t="s">
        <x:v>186</x:v>
      </x:c>
      <x:c r="G33" s="5" t="s">
        <x:v>187</x:v>
      </x:c>
      <x:c r="H33" s="5" t="s">
        <x:v>42</x:v>
      </x:c>
      <x:c r="I33" s="5" t="s">
        <x:v>197</x:v>
      </x:c>
      <x:c r="J33" s="6">
        <x:v>200</x:v>
      </x:c>
      <x:c r="K33" s="5" t="s">
        <x:v>194</x:v>
      </x:c>
      <x:c r="L33" s="5" t="str">
        <x:v>-</x:v>
      </x:c>
      <x:c r="M33" s="5" t="s">
        <x:v>14</x:v>
      </x:c>
      <x:c r="N33" s="5" t="str">
        <x:v>Ca kiểm thử bám đúng đặc tả, có dữ liệu và oracle kiểm tra được. Không cần chỉnh sửa.</x:v>
      </x:c>
      <x:c r="O33" s="5" t="s">
        <x:v>88</x:v>
      </x:c>
      <x:c r="P33" s="5" t="s">
        <x:v>56</x:v>
      </x:c>
      <x:c r="Q33" s="5" t="str">
        <x:v>-</x:v>
      </x:c>
    </x:row>
    <x:row r="34" ht="27.600000381469727">
      <x:c r="A34" s="5" t="s">
        <x:v>286</x:v>
      </x:c>
      <x:c r="B34" s="5" t="s">
        <x:v>7</x:v>
      </x:c>
      <x:c r="C34" s="5" t="s">
        <x:v>154</x:v>
      </x:c>
      <x:c r="D34" s="5" t="s">
        <x:v>287</x:v>
      </x:c>
      <x:c r="E34" s="5" t="s">
        <x:v>39</x:v>
      </x:c>
      <x:c r="F34" s="5" t="s">
        <x:v>186</x:v>
      </x:c>
      <x:c r="G34" s="5" t="s">
        <x:v>187</x:v>
      </x:c>
      <x:c r="H34" s="5" t="s">
        <x:v>42</x:v>
      </x:c>
      <x:c r="I34" s="5" t="s">
        <x:v>197</x:v>
      </x:c>
      <x:c r="J34" s="6">
        <x:v>400</x:v>
      </x:c>
      <x:c r="K34" s="5" t="s">
        <x:v>54</x:v>
      </x:c>
      <x:c r="L34" s="5" t="str">
        <x:v>-</x:v>
      </x:c>
      <x:c r="M34" s="5" t="s">
        <x:v>14</x:v>
      </x:c>
      <x:c r="N34" s="5" t="str">
        <x:v>Ca kiểm thử bám đúng đặc tả, có dữ liệu và oracle kiểm tra được. Không cần chỉnh sửa.</x:v>
      </x:c>
      <x:c r="O34" s="5" t="s">
        <x:v>100</x:v>
      </x:c>
      <x:c r="P34" s="5" t="s">
        <x:v>56</x:v>
      </x:c>
      <x:c r="Q34" s="5" t="str">
        <x:v>-</x:v>
      </x:c>
    </x:row>
    <x:row r="35" ht="41.400001525878906">
      <x:c r="A35" s="5" t="s">
        <x:v>288</x:v>
      </x:c>
      <x:c r="B35" s="5" t="s">
        <x:v>7</x:v>
      </x:c>
      <x:c r="C35" s="5" t="s">
        <x:v>85</x:v>
      </x:c>
      <x:c r="D35" s="5" t="s">
        <x:v>289</x:v>
      </x:c>
      <x:c r="E35" s="5" t="s">
        <x:v>39</x:v>
      </x:c>
      <x:c r="F35" s="5" t="s">
        <x:v>186</x:v>
      </x:c>
      <x:c r="G35" s="5" t="s">
        <x:v>187</x:v>
      </x:c>
      <x:c r="H35" s="5" t="s">
        <x:v>42</x:v>
      </x:c>
      <x:c r="I35" s="5" t="s">
        <x:v>193</x:v>
      </x:c>
      <x:c r="J35" s="6">
        <x:v>200</x:v>
      </x:c>
      <x:c r="K35" s="5" t="s">
        <x:v>290</x:v>
      </x:c>
      <x:c r="L35" s="5" t="str">
        <x:v>-</x:v>
      </x:c>
      <x:c r="M35" s="5" t="s">
        <x:v>15</x:v>
      </x:c>
      <x:c r="N35" s="5" t="str">
        <x:v>Bản AI ban đầu suy đoán oracle theo hành vi phổ biến thay vì truy vết SRS. Đã thay oracle bằng status/ràng buộc trong SRS và bổ sung liên kết FR/SEC.</x:v>
      </x:c>
      <x:c r="O35" s="5" t="s">
        <x:v>88</x:v>
      </x:c>
      <x:c r="P35" s="5" t="s">
        <x:v>56</x:v>
      </x:c>
      <x:c r="Q35" s="5" t="str">
        <x:v>-</x:v>
      </x:c>
    </x:row>
    <x:row r="36" ht="27.600000381469727">
      <x:c r="A36" s="5" t="s">
        <x:v>291</x:v>
      </x:c>
      <x:c r="B36" s="5" t="s">
        <x:v>7</x:v>
      </x:c>
      <x:c r="C36" s="5" t="s">
        <x:v>85</x:v>
      </x:c>
      <x:c r="D36" s="5" t="s">
        <x:v>292</x:v>
      </x:c>
      <x:c r="E36" s="5" t="s">
        <x:v>39</x:v>
      </x:c>
      <x:c r="F36" s="5" t="s">
        <x:v>186</x:v>
      </x:c>
      <x:c r="G36" s="5" t="s">
        <x:v>187</x:v>
      </x:c>
      <x:c r="H36" s="5" t="s">
        <x:v>42</x:v>
      </x:c>
      <x:c r="I36" s="5" t="s">
        <x:v>293</x:v>
      </x:c>
      <x:c r="J36" s="6">
        <x:v>404</x:v>
      </x:c>
      <x:c r="K36" s="5" t="s">
        <x:v>54</x:v>
      </x:c>
      <x:c r="L36" s="5" t="str">
        <x:v>-</x:v>
      </x:c>
      <x:c r="M36" s="5" t="s">
        <x:v>14</x:v>
      </x:c>
      <x:c r="N36" s="5" t="str">
        <x:v>Ca kiểm thử bám đúng đặc tả, có dữ liệu và oracle kiểm tra được. Không cần chỉnh sửa.</x:v>
      </x:c>
      <x:c r="O36" s="5" t="s">
        <x:v>55</x:v>
      </x:c>
      <x:c r="P36" s="5" t="s">
        <x:v>56</x:v>
      </x:c>
      <x:c r="Q36" s="5" t="str">
        <x:v>-</x:v>
      </x:c>
    </x:row>
    <x:row r="37" ht="41.400001525878906">
      <x:c r="A37" s="5" t="s">
        <x:v>294</x:v>
      </x:c>
      <x:c r="B37" s="5" t="s">
        <x:v>7</x:v>
      </x:c>
      <x:c r="C37" s="5" t="s">
        <x:v>78</x:v>
      </x:c>
      <x:c r="D37" s="5" t="s">
        <x:v>295</x:v>
      </x:c>
      <x:c r="E37" s="5" t="s">
        <x:v>39</x:v>
      </x:c>
      <x:c r="F37" s="5" t="s">
        <x:v>186</x:v>
      </x:c>
      <x:c r="G37" s="5" t="s">
        <x:v>187</x:v>
      </x:c>
      <x:c r="H37" s="5" t="s">
        <x:v>42</x:v>
      </x:c>
      <x:c r="I37" s="5" t="s">
        <x:v>296</x:v>
      </x:c>
      <x:c r="J37" s="6">
        <x:v>404</x:v>
      </x:c>
      <x:c r="K37" s="5" t="s">
        <x:v>54</x:v>
      </x:c>
      <x:c r="L37" s="5" t="str">
        <x:v>-</x:v>
      </x:c>
      <x:c r="M37" s="5" t="s">
        <x:v>16</x:v>
      </x:c>
      <x:c r="N37" s="5" t="str">
        <x:v>Bản AI ban đầu thiếu assertion schema hoặc hậu điều kiện có thể quan sát. Đã bổ sung expected keys và assertion nghiệp vụ tương ứng.</x:v>
      </x:c>
      <x:c r="O37" s="5" t="s">
        <x:v>55</x:v>
      </x:c>
      <x:c r="P37" s="5" t="s">
        <x:v>56</x:v>
      </x:c>
      <x:c r="Q37" s="5" t="str">
        <x:v>-</x:v>
      </x:c>
    </x:row>
    <x:row r="38" ht="27.600000381469727">
      <x:c r="A38" s="5" t="s">
        <x:v>297</x:v>
      </x:c>
      <x:c r="B38" s="5" t="s">
        <x:v>164</x:v>
      </x:c>
      <x:c r="C38" s="5" t="s">
        <x:v>298</x:v>
      </x:c>
      <x:c r="D38" s="5" t="s">
        <x:v>299</x:v>
      </x:c>
      <x:c r="E38" s="5" t="s">
        <x:v>39</x:v>
      </x:c>
      <x:c r="F38" s="5" t="s">
        <x:v>186</x:v>
      </x:c>
      <x:c r="G38" s="5" t="s">
        <x:v>187</x:v>
      </x:c>
      <x:c r="H38" s="5" t="s">
        <x:v>42</x:v>
      </x:c>
      <x:c r="I38" s="5" t="s">
        <x:v>188</x:v>
      </x:c>
      <x:c r="J38" s="6">
        <x:v>400</x:v>
      </x:c>
      <x:c r="K38" s="5" t="s">
        <x:v>300</x:v>
      </x:c>
      <x:c r="L38" s="5" t="str">
        <x:v>SEC-02</x:v>
      </x:c>
      <x:c r="M38" s="5" t="s">
        <x:v>168</x:v>
      </x:c>
      <x:c r="N38" s="5" t="str">
        <x:v>AI ban đầu chưa xét race condition khi hai request đồng thời cùng tiêu thụ lượt dùng cuối của một coupon. Không áp dụng; đây là ca sinh viên bổ sung sau kiểm toán AI.</x:v>
      </x:c>
      <x:c r="O38" s="5" t="s">
        <x:v>100</x:v>
      </x:c>
      <x:c r="P38" s="5" t="s">
        <x:v>56</x:v>
      </x:c>
      <x:c r="Q38" s="5" t="str">
        <x:v>-</x:v>
      </x:c>
    </x:row>
    <x:row r="39" ht="27.600000381469727">
      <x:c r="A39" s="5" t="s">
        <x:v>301</x:v>
      </x:c>
      <x:c r="B39" s="5" t="s">
        <x:v>164</x:v>
      </x:c>
      <x:c r="C39" s="5" t="s">
        <x:v>90</x:v>
      </x:c>
      <x:c r="D39" s="5" t="s">
        <x:v>302</x:v>
      </x:c>
      <x:c r="E39" s="5" t="s">
        <x:v>39</x:v>
      </x:c>
      <x:c r="F39" s="5" t="s">
        <x:v>186</x:v>
      </x:c>
      <x:c r="G39" s="5" t="s">
        <x:v>187</x:v>
      </x:c>
      <x:c r="H39" s="5" t="s">
        <x:v>42</x:v>
      </x:c>
      <x:c r="I39" s="5" t="s">
        <x:v>303</x:v>
      </x:c>
      <x:c r="J39" s="6">
        <x:v>400</x:v>
      </x:c>
      <x:c r="K39" s="5" t="s">
        <x:v>304</x:v>
      </x:c>
      <x:c r="L39" s="5" t="str">
        <x:v>-</x:v>
      </x:c>
      <x:c r="M39" s="5" t="s">
        <x:v>168</x:v>
      </x:c>
      <x:c r="N39" s="5" t="str">
        <x:v>AI ban đầu chưa kiểm tra quan hệ chéo giữa fixed discount và tổng đơn hàng để bảo đảm số tiền cuối không âm. Không áp dụng; đây là ca sinh viên bổ sung sau kiểm toán AI.</x:v>
      </x:c>
      <x:c r="O39" s="5" t="s">
        <x:v>100</x:v>
      </x:c>
      <x:c r="P39" s="5" t="s">
        <x:v>56</x:v>
      </x:c>
      <x:c r="Q39" s="5" t="str">
        <x:v>-</x:v>
      </x:c>
    </x:row>
    <x:row r="40" ht="27.600000381469727">
      <x:c r="A40" s="5" t="s">
        <x:v>305</x:v>
      </x:c>
      <x:c r="B40" s="5" t="s">
        <x:v>164</x:v>
      </x:c>
      <x:c r="C40" s="5" t="s">
        <x:v>78</x:v>
      </x:c>
      <x:c r="D40" s="5" t="s">
        <x:v>306</x:v>
      </x:c>
      <x:c r="E40" s="5" t="s">
        <x:v>39</x:v>
      </x:c>
      <x:c r="F40" s="5" t="s">
        <x:v>186</x:v>
      </x:c>
      <x:c r="G40" s="5" t="s">
        <x:v>187</x:v>
      </x:c>
      <x:c r="H40" s="5" t="s">
        <x:v>42</x:v>
      </x:c>
      <x:c r="I40" s="5" t="s">
        <x:v>307</x:v>
      </x:c>
      <x:c r="J40" s="6">
        <x:v>200</x:v>
      </x:c>
      <x:c r="K40" s="5" t="s">
        <x:v>271</x:v>
      </x:c>
      <x:c r="L40" s="5" t="str">
        <x:v>SEC-02</x:v>
      </x:c>
      <x:c r="M40" s="5" t="s">
        <x:v>168</x:v>
      </x:c>
      <x:c r="N40" s="5" t="str">
        <x:v>AI ban đầu chưa kiểm tra ranh giới tin cậy giữa user_id do client gửi và danh tính lấy từ JWT. Không áp dụng; đây là ca sinh viên bổ sung sau kiểm toán AI.</x:v>
      </x:c>
      <x:c r="O40" s="5" t="s">
        <x:v>88</x:v>
      </x:c>
      <x:c r="P40" s="5" t="s">
        <x:v>56</x:v>
      </x:c>
      <x:c r="Q40" s="5" t="str">
        <x:v>-</x:v>
      </x:c>
    </x:row>
    <x:row r="41" ht="27.600000381469727">
      <x:c r="A41" s="5" t="s">
        <x:v>308</x:v>
      </x:c>
      <x:c r="B41" s="5" t="s">
        <x:v>164</x:v>
      </x:c>
      <x:c r="C41" s="5" t="s">
        <x:v>154</x:v>
      </x:c>
      <x:c r="D41" s="5" t="s">
        <x:v>309</x:v>
      </x:c>
      <x:c r="E41" s="5" t="s">
        <x:v>39</x:v>
      </x:c>
      <x:c r="F41" s="5" t="s">
        <x:v>310</x:v>
      </x:c>
      <x:c r="G41" s="5" t="s">
        <x:v>187</x:v>
      </x:c>
      <x:c r="H41" s="5" t="s">
        <x:v>42</x:v>
      </x:c>
      <x:c r="I41" s="5" t="s">
        <x:v>311</x:v>
      </x:c>
      <x:c r="J41" s="6">
        <x:v>200</x:v>
      </x:c>
      <x:c r="K41" s="5" t="s">
        <x:v>54</x:v>
      </x:c>
      <x:c r="L41" s="5" t="str">
        <x:v>SEC-02</x:v>
      </x:c>
      <x:c r="M41" s="5" t="s">
        <x:v>168</x:v>
      </x:c>
      <x:c r="N41" s="5" t="str">
        <x:v>AI ban đầu chưa nối luồng apply-coupon với coupon-usage để xác minh bản ghi usage gắn đúng người dùng JWT. Không áp dụng; đây là ca sinh viên bổ sung sau kiểm toán AI.</x:v>
      </x:c>
      <x:c r="O41" s="5" t="s">
        <x:v>88</x:v>
      </x:c>
      <x:c r="P41" s="5" t="s">
        <x:v>56</x:v>
      </x:c>
      <x:c r="Q41" s="5" t="str">
        <x:v>-</x:v>
      </x:c>
    </x:row>
    <x:row r="42" ht="27.600000381469727">
      <x:c r="A42" s="5" t="s">
        <x:v>312</x:v>
      </x:c>
      <x:c r="B42" s="5" t="s">
        <x:v>164</x:v>
      </x:c>
      <x:c r="C42" s="5" t="s">
        <x:v>90</x:v>
      </x:c>
      <x:c r="D42" s="5" t="s">
        <x:v>313</x:v>
      </x:c>
      <x:c r="E42" s="5" t="s">
        <x:v>39</x:v>
      </x:c>
      <x:c r="F42" s="5" t="s">
        <x:v>186</x:v>
      </x:c>
      <x:c r="G42" s="5" t="s">
        <x:v>187</x:v>
      </x:c>
      <x:c r="H42" s="5" t="s">
        <x:v>42</x:v>
      </x:c>
      <x:c r="I42" s="5" t="s">
        <x:v>200</x:v>
      </x:c>
      <x:c r="J42" s="6">
        <x:v>400</x:v>
      </x:c>
      <x:c r="K42" s="5" t="s">
        <x:v>314</x:v>
      </x:c>
      <x:c r="L42" s="5" t="str">
        <x:v>-</x:v>
      </x:c>
      <x:c r="M42" s="5" t="s">
        <x:v>168</x:v>
      </x:c>
      <x:c r="N42" s="5" t="str">
        <x:v>AI ban đầu bỏ sót ranh giới thời gian chính xác của ngày hết hạn và rủi ro khác biệt múi giờ. Không áp dụng; đây là ca sinh viên bổ sung sau kiểm toán AI.</x:v>
      </x:c>
      <x:c r="O42" s="5" t="s">
        <x:v>100</x:v>
      </x:c>
      <x:c r="P42" s="5" t="s">
        <x:v>56</x:v>
      </x:c>
      <x:c r="Q42" s="5" t="str">
        <x:v>-</x:v>
      </x:c>
    </x:row>
  </x:sheetData>
  <x:mergeCells>
    <x:mergeCell ref="A1:Q1"/>
  </x:mergeCells>
  <x:conditionalFormatting sqref="M3:M42">
    <x:cfRule type="containsText" dxfId="0" priority="3" operator="between" text="INCOMPLETE">
      <x:formula>NOT(ISERROR(SEARCH("INCOMPLETE",M3)))</x:formula>
    </x:cfRule>
    <x:cfRule type="containsText" dxfId="1" priority="4" operator="between" text="INVALID">
      <x:formula>NOT(ISERROR(SEARCH("INVALID",M3)))</x:formula>
    </x:cfRule>
  </x:conditionalFormatting>
  <x:conditionalFormatting sqref="P3:P42">
    <x:cfRule type="containsText" dxfId="2" priority="1" operator="between" text="PASS">
      <x:formula>NOT(ISERROR(SEARCH("PASS",P3)))</x:formula>
    </x:cfRule>
    <x:cfRule type="containsText" dxfId="3" priority="2" operator="between" text="FAIL">
      <x:formula>NOT(ISERROR(SEARCH("FAIL",P3)))</x:formula>
    </x:cfRule>
  </x:conditionalFormatting>
  <x:dataValidations count="1">
    <x:dataValidation type="list" sqref="P3:P42">
      <x:formula1>"PASS,FAIL,NOT_RUN"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a5a8899c3b242d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9" defaultRowHeight="13.800000190734863"/>
  <x:cols>
    <x:col min="1" max="1" width="17" customWidth="1"/>
    <x:col min="2" max="3" width="12" customWidth="1"/>
    <x:col min="4" max="4" width="35" customWidth="1"/>
    <x:col min="5" max="5" width="10" customWidth="1"/>
    <x:col min="6" max="6" width="34" customWidth="1"/>
    <x:col min="7" max="7" width="10" customWidth="1"/>
    <x:col min="8" max="9" width="36" customWidth="1"/>
    <x:col min="10" max="13" width="15" customWidth="1"/>
    <x:col min="14" max="15" width="48" customWidth="1"/>
    <x:col min="16" max="17" width="16" customWidth="1"/>
  </x:cols>
  <x:sheetData>
    <x:row r="1" ht="17.399999618530273">
      <x:c r="A1" s="1" t="s">
        <x:v>315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</x:row>
    <x:row r="2">
      <x:c r="A2" s="2" t="s">
        <x:v>19</x:v>
      </x:c>
      <x:c r="B2" s="3" t="s">
        <x:v>20</x:v>
      </x:c>
      <x:c r="C2" s="3" t="s">
        <x:v>21</x:v>
      </x:c>
      <x:c r="D2" s="3" t="s">
        <x:v>22</x:v>
      </x:c>
      <x:c r="E2" s="3" t="s">
        <x:v>23</x:v>
      </x:c>
      <x:c r="F2" s="3" t="s">
        <x:v>24</x:v>
      </x:c>
      <x:c r="G2" s="3" t="s">
        <x:v>25</x:v>
      </x:c>
      <x:c r="H2" s="3" t="s">
        <x:v>26</x:v>
      </x:c>
      <x:c r="I2" s="3" t="s">
        <x:v>27</x:v>
      </x:c>
      <x:c r="J2" s="3" t="s">
        <x:v>28</x:v>
      </x:c>
      <x:c r="K2" s="3" t="s">
        <x:v>29</x:v>
      </x:c>
      <x:c r="L2" s="3" t="s">
        <x:v>30</x:v>
      </x:c>
      <x:c r="M2" s="3" t="s">
        <x:v>31</x:v>
      </x:c>
      <x:c r="N2" s="3" t="s">
        <x:v>32</x:v>
      </x:c>
      <x:c r="O2" s="3" t="s">
        <x:v>33</x:v>
      </x:c>
      <x:c r="P2" s="3" t="s">
        <x:v>34</x:v>
      </x:c>
      <x:c r="Q2" s="4" t="s">
        <x:v>35</x:v>
      </x:c>
    </x:row>
    <x:row r="3" ht="27.600000381469727">
      <x:c r="A3" s="5" t="s">
        <x:v>316</x:v>
      </x:c>
      <x:c r="B3" s="5" t="s">
        <x:v>7</x:v>
      </x:c>
      <x:c r="C3" s="5" t="s">
        <x:v>78</x:v>
      </x:c>
      <x:c r="D3" s="5" t="s">
        <x:v>317</x:v>
      </x:c>
      <x:c r="E3" s="5" t="s">
        <x:v>318</x:v>
      </x:c>
      <x:c r="F3" s="5" t="s">
        <x:v>319</x:v>
      </x:c>
      <x:c r="G3" s="5" t="s">
        <x:v>320</x:v>
      </x:c>
      <x:c r="H3" s="5" t="s">
        <x:v>42</x:v>
      </x:c>
      <x:c r="I3" s="5" t="s">
        <x:v>321</x:v>
      </x:c>
      <x:c r="J3" s="6">
        <x:v>200</x:v>
      </x:c>
      <x:c r="K3" s="5" t="s">
        <x:v>322</x:v>
      </x:c>
      <x:c r="L3" s="5" t="str">
        <x:v>SEC-02, SEC-03</x:v>
      </x:c>
      <x:c r="M3" s="5" t="s">
        <x:v>14</x:v>
      </x:c>
      <x:c r="N3" s="5" t="str">
        <x:v>Ca kiểm thử bám đúng đặc tả, có dữ liệu và oracle kiểm tra được. Không cần chỉnh sửa.</x:v>
      </x:c>
      <x:c r="O3" s="5" t="s">
        <x:v>88</x:v>
      </x:c>
      <x:c r="P3" s="5" t="s">
        <x:v>56</x:v>
      </x:c>
      <x:c r="Q3" s="5" t="str">
        <x:v>-</x:v>
      </x:c>
    </x:row>
    <x:row r="4" ht="41.400001525878906">
      <x:c r="A4" s="5" t="s">
        <x:v>323</x:v>
      </x:c>
      <x:c r="B4" s="5" t="s">
        <x:v>7</x:v>
      </x:c>
      <x:c r="C4" s="5" t="s">
        <x:v>78</x:v>
      </x:c>
      <x:c r="D4" s="5" t="s">
        <x:v>324</x:v>
      </x:c>
      <x:c r="E4" s="5" t="s">
        <x:v>318</x:v>
      </x:c>
      <x:c r="F4" s="5" t="s">
        <x:v>319</x:v>
      </x:c>
      <x:c r="G4" s="5" t="s">
        <x:v>187</x:v>
      </x:c>
      <x:c r="H4" s="5" t="s">
        <x:v>42</x:v>
      </x:c>
      <x:c r="I4" s="5" t="s">
        <x:v>321</x:v>
      </x:c>
      <x:c r="J4" s="6">
        <x:v>403</x:v>
      </x:c>
      <x:c r="K4" s="5" t="s">
        <x:v>54</x:v>
      </x:c>
      <x:c r="L4" s="5" t="str">
        <x:v>SEC-02, SEC-03</x:v>
      </x:c>
      <x:c r="M4" s="5" t="s">
        <x:v>14</x:v>
      </x:c>
      <x:c r="N4" s="5" t="str">
        <x:v>Ca kiểm thử bám đúng đặc tả, có dữ liệu và oracle kiểm tra được. Không cần chỉnh sửa.</x:v>
      </x:c>
      <x:c r="O4" s="5" t="s">
        <x:v>325</x:v>
      </x:c>
      <x:c r="P4" s="5" t="s">
        <x:v>46</x:v>
      </x:c>
      <x:c r="Q4" s="5" t="str">
        <x:v>BUG-FR17-01</x:v>
      </x:c>
    </x:row>
    <x:row r="5" ht="27.600000381469727">
      <x:c r="A5" s="5" t="s">
        <x:v>326</x:v>
      </x:c>
      <x:c r="B5" s="5" t="s">
        <x:v>7</x:v>
      </x:c>
      <x:c r="C5" s="5" t="s">
        <x:v>78</x:v>
      </x:c>
      <x:c r="D5" s="5" t="s">
        <x:v>327</x:v>
      </x:c>
      <x:c r="E5" s="5" t="s">
        <x:v>318</x:v>
      </x:c>
      <x:c r="F5" s="5" t="s">
        <x:v>319</x:v>
      </x:c>
      <x:c r="G5" s="5" t="s">
        <x:v>41</x:v>
      </x:c>
      <x:c r="H5" s="5" t="s">
        <x:v>42</x:v>
      </x:c>
      <x:c r="I5" s="5" t="s">
        <x:v>321</x:v>
      </x:c>
      <x:c r="J5" s="6">
        <x:v>401</x:v>
      </x:c>
      <x:c r="K5" s="5" t="s">
        <x:v>54</x:v>
      </x:c>
      <x:c r="L5" s="5" t="str">
        <x:v>SEC-02</x:v>
      </x:c>
      <x:c r="M5" s="5" t="s">
        <x:v>14</x:v>
      </x:c>
      <x:c r="N5" s="5" t="str">
        <x:v>Ca kiểm thử bám đúng đặc tả, có dữ liệu và oracle kiểm tra được. Không cần chỉnh sửa.</x:v>
      </x:c>
      <x:c r="O5" s="5" t="s">
        <x:v>328</x:v>
      </x:c>
      <x:c r="P5" s="5" t="s">
        <x:v>56</x:v>
      </x:c>
      <x:c r="Q5" s="5" t="str">
        <x:v>-</x:v>
      </x:c>
    </x:row>
    <x:row r="6" ht="27.600000381469727">
      <x:c r="A6" s="5" t="s">
        <x:v>329</x:v>
      </x:c>
      <x:c r="B6" s="5" t="s">
        <x:v>7</x:v>
      </x:c>
      <x:c r="C6" s="5" t="s">
        <x:v>78</x:v>
      </x:c>
      <x:c r="D6" s="5" t="s">
        <x:v>330</x:v>
      </x:c>
      <x:c r="E6" s="5" t="s">
        <x:v>318</x:v>
      </x:c>
      <x:c r="F6" s="5" t="s">
        <x:v>319</x:v>
      </x:c>
      <x:c r="G6" s="5" t="s">
        <x:v>264</x:v>
      </x:c>
      <x:c r="H6" s="5" t="s">
        <x:v>42</x:v>
      </x:c>
      <x:c r="I6" s="5" t="s">
        <x:v>321</x:v>
      </x:c>
      <x:c r="J6" s="6">
        <x:v>403</x:v>
      </x:c>
      <x:c r="K6" s="5" t="s">
        <x:v>54</x:v>
      </x:c>
      <x:c r="L6" s="5" t="str">
        <x:v>SEC-02</x:v>
      </x:c>
      <x:c r="M6" s="5" t="s">
        <x:v>14</x:v>
      </x:c>
      <x:c r="N6" s="5" t="str">
        <x:v>Ca kiểm thử bám đúng đặc tả, có dữ liệu và oracle kiểm tra được. Không cần chỉnh sửa.</x:v>
      </x:c>
      <x:c r="O6" s="5" t="s">
        <x:v>331</x:v>
      </x:c>
      <x:c r="P6" s="5" t="s">
        <x:v>56</x:v>
      </x:c>
      <x:c r="Q6" s="5" t="str">
        <x:v>-</x:v>
      </x:c>
    </x:row>
    <x:row r="7" ht="27.600000381469727">
      <x:c r="A7" s="5" t="s">
        <x:v>332</x:v>
      </x:c>
      <x:c r="B7" s="5" t="s">
        <x:v>7</x:v>
      </x:c>
      <x:c r="C7" s="5" t="s">
        <x:v>85</x:v>
      </x:c>
      <x:c r="D7" s="5" t="s">
        <x:v>333</x:v>
      </x:c>
      <x:c r="E7" s="5" t="s">
        <x:v>318</x:v>
      </x:c>
      <x:c r="F7" s="5" t="s">
        <x:v>319</x:v>
      </x:c>
      <x:c r="G7" s="5" t="s">
        <x:v>320</x:v>
      </x:c>
      <x:c r="H7" s="5" t="s">
        <x:v>42</x:v>
      </x:c>
      <x:c r="I7" s="5" t="s">
        <x:v>321</x:v>
      </x:c>
      <x:c r="J7" s="6">
        <x:v>200</x:v>
      </x:c>
      <x:c r="K7" s="5" t="s">
        <x:v>334</x:v>
      </x:c>
      <x:c r="L7" s="5" t="str">
        <x:v>-</x:v>
      </x:c>
      <x:c r="M7" s="5" t="s">
        <x:v>14</x:v>
      </x:c>
      <x:c r="N7" s="5" t="str">
        <x:v>Ca kiểm thử bám đúng đặc tả, có dữ liệu và oracle kiểm tra được. Không cần chỉnh sửa.</x:v>
      </x:c>
      <x:c r="O7" s="5" t="s">
        <x:v>88</x:v>
      </x:c>
      <x:c r="P7" s="5" t="s">
        <x:v>56</x:v>
      </x:c>
      <x:c r="Q7" s="5" t="str">
        <x:v>-</x:v>
      </x:c>
    </x:row>
    <x:row r="8" ht="55.20000076293945">
      <x:c r="A8" s="5" t="s">
        <x:v>335</x:v>
      </x:c>
      <x:c r="B8" s="5" t="s">
        <x:v>7</x:v>
      </x:c>
      <x:c r="C8" s="5" t="s">
        <x:v>37</x:v>
      </x:c>
      <x:c r="D8" s="5" t="s">
        <x:v>336</x:v>
      </x:c>
      <x:c r="E8" s="5" t="s">
        <x:v>39</x:v>
      </x:c>
      <x:c r="F8" s="5" t="s">
        <x:v>337</x:v>
      </x:c>
      <x:c r="G8" s="5" t="s">
        <x:v>320</x:v>
      </x:c>
      <x:c r="H8" s="5" t="s">
        <x:v>42</x:v>
      </x:c>
      <x:c r="I8" s="5" t="s">
        <x:v>338</x:v>
      </x:c>
      <x:c r="J8" s="6">
        <x:v>200</x:v>
      </x:c>
      <x:c r="K8" s="5" t="s">
        <x:v>54</x:v>
      </x:c>
      <x:c r="L8" s="5" t="str">
        <x:v>-</x:v>
      </x:c>
      <x:c r="M8" s="5" t="s">
        <x:v>14</x:v>
      </x:c>
      <x:c r="N8" s="5" t="str">
        <x:v>Ca kiểm thử bám đúng đặc tả, có dữ liệu và oracle kiểm tra được. Không cần chỉnh sửa.</x:v>
      </x:c>
      <x:c r="O8" s="5" t="s">
        <x:v>88</x:v>
      </x:c>
      <x:c r="P8" s="5" t="s">
        <x:v>56</x:v>
      </x:c>
      <x:c r="Q8" s="5" t="str">
        <x:v>-</x:v>
      </x:c>
    </x:row>
    <x:row r="9" ht="55.20000076293945">
      <x:c r="A9" s="5" t="s">
        <x:v>339</x:v>
      </x:c>
      <x:c r="B9" s="5" t="s">
        <x:v>7</x:v>
      </x:c>
      <x:c r="C9" s="5" t="s">
        <x:v>37</x:v>
      </x:c>
      <x:c r="D9" s="5" t="s">
        <x:v>340</x:v>
      </x:c>
      <x:c r="E9" s="5" t="s">
        <x:v>39</x:v>
      </x:c>
      <x:c r="F9" s="5" t="s">
        <x:v>337</x:v>
      </x:c>
      <x:c r="G9" s="5" t="s">
        <x:v>320</x:v>
      </x:c>
      <x:c r="H9" s="5" t="s">
        <x:v>42</x:v>
      </x:c>
      <x:c r="I9" s="5" t="s">
        <x:v>341</x:v>
      </x:c>
      <x:c r="J9" s="6">
        <x:v>200</x:v>
      </x:c>
      <x:c r="K9" s="5" t="s">
        <x:v>54</x:v>
      </x:c>
      <x:c r="L9" s="5" t="str">
        <x:v>-</x:v>
      </x:c>
      <x:c r="M9" s="5" t="s">
        <x:v>16</x:v>
      </x:c>
      <x:c r="N9" s="5" t="str">
        <x:v>Bản AI ban đầu thiếu assertion schema hoặc hậu điều kiện có thể quan sát. Đã bổ sung expected keys và assertion nghiệp vụ tương ứng.</x:v>
      </x:c>
      <x:c r="O9" s="5" t="s">
        <x:v>88</x:v>
      </x:c>
      <x:c r="P9" s="5" t="s">
        <x:v>56</x:v>
      </x:c>
      <x:c r="Q9" s="5" t="str">
        <x:v>-</x:v>
      </x:c>
    </x:row>
    <x:row r="10" ht="41.400001525878906">
      <x:c r="A10" s="5" t="s">
        <x:v>342</x:v>
      </x:c>
      <x:c r="B10" s="5" t="s">
        <x:v>7</x:v>
      </x:c>
      <x:c r="C10" s="5" t="s">
        <x:v>78</x:v>
      </x:c>
      <x:c r="D10" s="5" t="s">
        <x:v>343</x:v>
      </x:c>
      <x:c r="E10" s="5" t="s">
        <x:v>39</x:v>
      </x:c>
      <x:c r="F10" s="5" t="s">
        <x:v>337</x:v>
      </x:c>
      <x:c r="G10" s="5" t="s">
        <x:v>187</x:v>
      </x:c>
      <x:c r="H10" s="5" t="s">
        <x:v>42</x:v>
      </x:c>
      <x:c r="I10" s="5" t="s">
        <x:v>344</x:v>
      </x:c>
      <x:c r="J10" s="6">
        <x:v>403</x:v>
      </x:c>
      <x:c r="K10" s="5" t="s">
        <x:v>54</x:v>
      </x:c>
      <x:c r="L10" s="5" t="str">
        <x:v>SEC-03</x:v>
      </x:c>
      <x:c r="M10" s="5" t="s">
        <x:v>14</x:v>
      </x:c>
      <x:c r="N10" s="5" t="str">
        <x:v>Ca kiểm thử bám đúng đặc tả, có dữ liệu và oracle kiểm tra được. Không cần chỉnh sửa.</x:v>
      </x:c>
      <x:c r="O10" s="5" t="s">
        <x:v>345</x:v>
      </x:c>
      <x:c r="P10" s="5" t="s">
        <x:v>46</x:v>
      </x:c>
      <x:c r="Q10" s="5" t="str">
        <x:v>BUG-FR17-01</x:v>
      </x:c>
    </x:row>
    <x:row r="11" ht="41.400001525878906">
      <x:c r="A11" s="5" t="s">
        <x:v>346</x:v>
      </x:c>
      <x:c r="B11" s="5" t="s">
        <x:v>7</x:v>
      </x:c>
      <x:c r="C11" s="5" t="s">
        <x:v>78</x:v>
      </x:c>
      <x:c r="D11" s="5" t="s">
        <x:v>347</x:v>
      </x:c>
      <x:c r="E11" s="5" t="s">
        <x:v>39</x:v>
      </x:c>
      <x:c r="F11" s="5" t="s">
        <x:v>337</x:v>
      </x:c>
      <x:c r="G11" s="5" t="s">
        <x:v>41</x:v>
      </x:c>
      <x:c r="H11" s="5" t="s">
        <x:v>42</x:v>
      </x:c>
      <x:c r="I11" s="5" t="s">
        <x:v>348</x:v>
      </x:c>
      <x:c r="J11" s="6">
        <x:v>401</x:v>
      </x:c>
      <x:c r="K11" s="5" t="s">
        <x:v>54</x:v>
      </x:c>
      <x:c r="L11" s="5" t="str">
        <x:v>SEC-02</x:v>
      </x:c>
      <x:c r="M11" s="5" t="s">
        <x:v>14</x:v>
      </x:c>
      <x:c r="N11" s="5" t="str">
        <x:v>Ca kiểm thử bám đúng đặc tả, có dữ liệu và oracle kiểm tra được. Không cần chỉnh sửa.</x:v>
      </x:c>
      <x:c r="O11" s="5" t="s">
        <x:v>328</x:v>
      </x:c>
      <x:c r="P11" s="5" t="s">
        <x:v>56</x:v>
      </x:c>
      <x:c r="Q11" s="5" t="str">
        <x:v>-</x:v>
      </x:c>
    </x:row>
    <x:row r="12" ht="41.400001525878906">
      <x:c r="A12" s="5" t="s">
        <x:v>349</x:v>
      </x:c>
      <x:c r="B12" s="5" t="s">
        <x:v>7</x:v>
      </x:c>
      <x:c r="C12" s="5" t="s">
        <x:v>78</x:v>
      </x:c>
      <x:c r="D12" s="5" t="s">
        <x:v>350</x:v>
      </x:c>
      <x:c r="E12" s="5" t="s">
        <x:v>39</x:v>
      </x:c>
      <x:c r="F12" s="5" t="s">
        <x:v>337</x:v>
      </x:c>
      <x:c r="G12" s="5" t="s">
        <x:v>264</x:v>
      </x:c>
      <x:c r="H12" s="5" t="s">
        <x:v>42</x:v>
      </x:c>
      <x:c r="I12" s="5" t="s">
        <x:v>351</x:v>
      </x:c>
      <x:c r="J12" s="6">
        <x:v>403</x:v>
      </x:c>
      <x:c r="K12" s="5" t="s">
        <x:v>54</x:v>
      </x:c>
      <x:c r="L12" s="5" t="str">
        <x:v>SEC-02</x:v>
      </x:c>
      <x:c r="M12" s="5" t="s">
        <x:v>14</x:v>
      </x:c>
      <x:c r="N12" s="5" t="str">
        <x:v>Ca kiểm thử bám đúng đặc tả, có dữ liệu và oracle kiểm tra được. Không cần chỉnh sửa.</x:v>
      </x:c>
      <x:c r="O12" s="5" t="s">
        <x:v>331</x:v>
      </x:c>
      <x:c r="P12" s="5" t="s">
        <x:v>56</x:v>
      </x:c>
      <x:c r="Q12" s="5" t="str">
        <x:v>-</x:v>
      </x:c>
    </x:row>
    <x:row r="13" ht="41.400001525878906">
      <x:c r="A13" s="5" t="s">
        <x:v>352</x:v>
      </x:c>
      <x:c r="B13" s="5" t="s">
        <x:v>7</x:v>
      </x:c>
      <x:c r="C13" s="5" t="s">
        <x:v>58</x:v>
      </x:c>
      <x:c r="D13" s="5" t="s">
        <x:v>205</x:v>
      </x:c>
      <x:c r="E13" s="5" t="s">
        <x:v>39</x:v>
      </x:c>
      <x:c r="F13" s="5" t="s">
        <x:v>337</x:v>
      </x:c>
      <x:c r="G13" s="5" t="s">
        <x:v>320</x:v>
      </x:c>
      <x:c r="H13" s="5" t="s">
        <x:v>42</x:v>
      </x:c>
      <x:c r="I13" s="5" t="s">
        <x:v>353</x:v>
      </x:c>
      <x:c r="J13" s="6">
        <x:v>400</x:v>
      </x:c>
      <x:c r="K13" s="5" t="s">
        <x:v>54</x:v>
      </x:c>
      <x:c r="L13" s="5" t="str">
        <x:v>-</x:v>
      </x:c>
      <x:c r="M13" s="5" t="s">
        <x:v>15</x:v>
      </x:c>
      <x:c r="N13" s="5" t="str">
        <x:v>Bản AI ban đầu suy đoán oracle theo hành vi phổ biến thay vì truy vết SRS. Đã thay oracle bằng status/ràng buộc trong SRS và bổ sung liên kết FR/SEC.</x:v>
      </x:c>
      <x:c r="O13" s="5" t="s">
        <x:v>354</x:v>
      </x:c>
      <x:c r="P13" s="5" t="s">
        <x:v>46</x:v>
      </x:c>
      <x:c r="Q13" s="5" t="str">
        <x:v>BUG-FR17-02</x:v>
      </x:c>
    </x:row>
    <x:row r="14" ht="41.400001525878906">
      <x:c r="A14" s="5" t="s">
        <x:v>355</x:v>
      </x:c>
      <x:c r="B14" s="5" t="s">
        <x:v>7</x:v>
      </x:c>
      <x:c r="C14" s="5" t="s">
        <x:v>58</x:v>
      </x:c>
      <x:c r="D14" s="5" t="s">
        <x:v>208</x:v>
      </x:c>
      <x:c r="E14" s="5" t="s">
        <x:v>39</x:v>
      </x:c>
      <x:c r="F14" s="5" t="s">
        <x:v>337</x:v>
      </x:c>
      <x:c r="G14" s="5" t="s">
        <x:v>320</x:v>
      </x:c>
      <x:c r="H14" s="5" t="s">
        <x:v>42</x:v>
      </x:c>
      <x:c r="I14" s="5" t="s">
        <x:v>356</x:v>
      </x:c>
      <x:c r="J14" s="6">
        <x:v>400</x:v>
      </x:c>
      <x:c r="K14" s="5" t="s">
        <x:v>54</x:v>
      </x:c>
      <x:c r="L14" s="5" t="str">
        <x:v>-</x:v>
      </x:c>
      <x:c r="M14" s="5" t="s">
        <x:v>14</x:v>
      </x:c>
      <x:c r="N14" s="5" t="str">
        <x:v>Ca kiểm thử bám đúng đặc tả, có dữ liệu và oracle kiểm tra được. Không cần chỉnh sửa.</x:v>
      </x:c>
      <x:c r="O14" s="5" t="s">
        <x:v>357</x:v>
      </x:c>
      <x:c r="P14" s="5" t="s">
        <x:v>46</x:v>
      </x:c>
      <x:c r="Q14" s="5" t="str">
        <x:v>BUG-FR17-02</x:v>
      </x:c>
    </x:row>
    <x:row r="15" ht="55.20000076293945">
      <x:c r="A15" s="5" t="s">
        <x:v>358</x:v>
      </x:c>
      <x:c r="B15" s="5" t="s">
        <x:v>7</x:v>
      </x:c>
      <x:c r="C15" s="5" t="s">
        <x:v>58</x:v>
      </x:c>
      <x:c r="D15" s="5" t="s">
        <x:v>359</x:v>
      </x:c>
      <x:c r="E15" s="5" t="s">
        <x:v>39</x:v>
      </x:c>
      <x:c r="F15" s="5" t="s">
        <x:v>337</x:v>
      </x:c>
      <x:c r="G15" s="5" t="s">
        <x:v>320</x:v>
      </x:c>
      <x:c r="H15" s="5" t="s">
        <x:v>42</x:v>
      </x:c>
      <x:c r="I15" s="5" t="s">
        <x:v>360</x:v>
      </x:c>
      <x:c r="J15" s="6">
        <x:v>400</x:v>
      </x:c>
      <x:c r="K15" s="5" t="s">
        <x:v>54</x:v>
      </x:c>
      <x:c r="L15" s="5" t="str">
        <x:v>-</x:v>
      </x:c>
      <x:c r="M15" s="5" t="s">
        <x:v>14</x:v>
      </x:c>
      <x:c r="N15" s="5" t="str">
        <x:v>Ca kiểm thử bám đúng đặc tả, có dữ liệu và oracle kiểm tra được. Không cần chỉnh sửa.</x:v>
      </x:c>
      <x:c r="O15" s="5" t="s">
        <x:v>361</x:v>
      </x:c>
      <x:c r="P15" s="5" t="s">
        <x:v>46</x:v>
      </x:c>
      <x:c r="Q15" s="5" t="str">
        <x:v>BUG-FR17-02</x:v>
      </x:c>
    </x:row>
    <x:row r="16" ht="41.400001525878906">
      <x:c r="A16" s="5" t="s">
        <x:v>362</x:v>
      </x:c>
      <x:c r="B16" s="5" t="s">
        <x:v>7</x:v>
      </x:c>
      <x:c r="C16" s="5" t="s">
        <x:v>154</x:v>
      </x:c>
      <x:c r="D16" s="5" t="s">
        <x:v>363</x:v>
      </x:c>
      <x:c r="E16" s="5" t="s">
        <x:v>39</x:v>
      </x:c>
      <x:c r="F16" s="5" t="s">
        <x:v>337</x:v>
      </x:c>
      <x:c r="G16" s="5" t="s">
        <x:v>320</x:v>
      </x:c>
      <x:c r="H16" s="5" t="s">
        <x:v>42</x:v>
      </x:c>
      <x:c r="I16" s="5" t="s">
        <x:v>364</x:v>
      </x:c>
      <x:c r="J16" s="6">
        <x:v>409</x:v>
      </x:c>
      <x:c r="K16" s="5" t="s">
        <x:v>54</x:v>
      </x:c>
      <x:c r="L16" s="5" t="str">
        <x:v>-</x:v>
      </x:c>
      <x:c r="M16" s="5" t="s">
        <x:v>16</x:v>
      </x:c>
      <x:c r="N16" s="5" t="str">
        <x:v>Bản AI ban đầu thiếu assertion schema hoặc hậu điều kiện có thể quan sát. Đã bổ sung expected keys và assertion nghiệp vụ tương ứng.</x:v>
      </x:c>
      <x:c r="O16" s="5" t="s">
        <x:v>365</x:v>
      </x:c>
      <x:c r="P16" s="5" t="s">
        <x:v>46</x:v>
      </x:c>
      <x:c r="Q16" s="5" t="str">
        <x:v>BUG-FR17-03</x:v>
      </x:c>
    </x:row>
    <x:row r="17" ht="41.400001525878906">
      <x:c r="A17" s="5" t="s">
        <x:v>366</x:v>
      </x:c>
      <x:c r="B17" s="5" t="s">
        <x:v>7</x:v>
      </x:c>
      <x:c r="C17" s="5" t="s">
        <x:v>58</x:v>
      </x:c>
      <x:c r="D17" s="5" t="s">
        <x:v>367</x:v>
      </x:c>
      <x:c r="E17" s="5" t="s">
        <x:v>39</x:v>
      </x:c>
      <x:c r="F17" s="5" t="s">
        <x:v>337</x:v>
      </x:c>
      <x:c r="G17" s="5" t="s">
        <x:v>320</x:v>
      </x:c>
      <x:c r="H17" s="5" t="s">
        <x:v>42</x:v>
      </x:c>
      <x:c r="I17" s="5" t="s">
        <x:v>368</x:v>
      </x:c>
      <x:c r="J17" s="6">
        <x:v>400</x:v>
      </x:c>
      <x:c r="K17" s="5" t="s">
        <x:v>54</x:v>
      </x:c>
      <x:c r="L17" s="5" t="str">
        <x:v>-</x:v>
      </x:c>
      <x:c r="M17" s="5" t="s">
        <x:v>14</x:v>
      </x:c>
      <x:c r="N17" s="5" t="str">
        <x:v>Ca kiểm thử bám đúng đặc tả, có dữ liệu và oracle kiểm tra được. Không cần chỉnh sửa.</x:v>
      </x:c>
      <x:c r="O17" s="5" t="s">
        <x:v>369</x:v>
      </x:c>
      <x:c r="P17" s="5" t="s">
        <x:v>46</x:v>
      </x:c>
      <x:c r="Q17" s="5" t="str">
        <x:v>BUG-FR17-02</x:v>
      </x:c>
    </x:row>
    <x:row r="18" ht="41.400001525878906">
      <x:c r="A18" s="5" t="s">
        <x:v>370</x:v>
      </x:c>
      <x:c r="B18" s="5" t="s">
        <x:v>7</x:v>
      </x:c>
      <x:c r="C18" s="5" t="s">
        <x:v>58</x:v>
      </x:c>
      <x:c r="D18" s="5" t="s">
        <x:v>371</x:v>
      </x:c>
      <x:c r="E18" s="5" t="s">
        <x:v>39</x:v>
      </x:c>
      <x:c r="F18" s="5" t="s">
        <x:v>337</x:v>
      </x:c>
      <x:c r="G18" s="5" t="s">
        <x:v>320</x:v>
      </x:c>
      <x:c r="H18" s="5" t="s">
        <x:v>42</x:v>
      </x:c>
      <x:c r="I18" s="5" t="s">
        <x:v>372</x:v>
      </x:c>
      <x:c r="J18" s="6">
        <x:v>400</x:v>
      </x:c>
      <x:c r="K18" s="5" t="s">
        <x:v>54</x:v>
      </x:c>
      <x:c r="L18" s="5" t="str">
        <x:v>-</x:v>
      </x:c>
      <x:c r="M18" s="5" t="s">
        <x:v>14</x:v>
      </x:c>
      <x:c r="N18" s="5" t="str">
        <x:v>Ca kiểm thử bám đúng đặc tả, có dữ liệu và oracle kiểm tra được. Không cần chỉnh sửa.</x:v>
      </x:c>
      <x:c r="O18" s="5" t="s">
        <x:v>373</x:v>
      </x:c>
      <x:c r="P18" s="5" t="s">
        <x:v>46</x:v>
      </x:c>
      <x:c r="Q18" s="5" t="str">
        <x:v>BUG-FR17-02</x:v>
      </x:c>
    </x:row>
    <x:row r="19" ht="41.400001525878906">
      <x:c r="A19" s="5" t="s">
        <x:v>374</x:v>
      </x:c>
      <x:c r="B19" s="5" t="s">
        <x:v>7</x:v>
      </x:c>
      <x:c r="C19" s="5" t="s">
        <x:v>58</x:v>
      </x:c>
      <x:c r="D19" s="5" t="s">
        <x:v>375</x:v>
      </x:c>
      <x:c r="E19" s="5" t="s">
        <x:v>39</x:v>
      </x:c>
      <x:c r="F19" s="5" t="s">
        <x:v>337</x:v>
      </x:c>
      <x:c r="G19" s="5" t="s">
        <x:v>320</x:v>
      </x:c>
      <x:c r="H19" s="5" t="s">
        <x:v>42</x:v>
      </x:c>
      <x:c r="I19" s="5" t="s">
        <x:v>376</x:v>
      </x:c>
      <x:c r="J19" s="6">
        <x:v>400</x:v>
      </x:c>
      <x:c r="K19" s="5" t="s">
        <x:v>54</x:v>
      </x:c>
      <x:c r="L19" s="5" t="str">
        <x:v>-</x:v>
      </x:c>
      <x:c r="M19" s="5" t="s">
        <x:v>14</x:v>
      </x:c>
      <x:c r="N19" s="5" t="str">
        <x:v>Ca kiểm thử bám đúng đặc tả, có dữ liệu và oracle kiểm tra được. Không cần chỉnh sửa.</x:v>
      </x:c>
      <x:c r="O19" s="5" t="s">
        <x:v>377</x:v>
      </x:c>
      <x:c r="P19" s="5" t="s">
        <x:v>46</x:v>
      </x:c>
      <x:c r="Q19" s="5" t="str">
        <x:v>BUG-FR17-02</x:v>
      </x:c>
    </x:row>
    <x:row r="20" ht="41.400001525878906">
      <x:c r="A20" s="5" t="s">
        <x:v>378</x:v>
      </x:c>
      <x:c r="B20" s="5" t="s">
        <x:v>7</x:v>
      </x:c>
      <x:c r="C20" s="5" t="s">
        <x:v>90</x:v>
      </x:c>
      <x:c r="D20" s="5" t="s">
        <x:v>379</x:v>
      </x:c>
      <x:c r="E20" s="5" t="s">
        <x:v>39</x:v>
      </x:c>
      <x:c r="F20" s="5" t="s">
        <x:v>337</x:v>
      </x:c>
      <x:c r="G20" s="5" t="s">
        <x:v>320</x:v>
      </x:c>
      <x:c r="H20" s="5" t="s">
        <x:v>42</x:v>
      </x:c>
      <x:c r="I20" s="5" t="s">
        <x:v>380</x:v>
      </x:c>
      <x:c r="J20" s="6">
        <x:v>400</x:v>
      </x:c>
      <x:c r="K20" s="5" t="s">
        <x:v>54</x:v>
      </x:c>
      <x:c r="L20" s="5" t="str">
        <x:v>-</x:v>
      </x:c>
      <x:c r="M20" s="5" t="s">
        <x:v>14</x:v>
      </x:c>
      <x:c r="N20" s="5" t="str">
        <x:v>Ca kiểm thử bám đúng đặc tả, có dữ liệu và oracle kiểm tra được. Không cần chỉnh sửa.</x:v>
      </x:c>
      <x:c r="O20" s="5" t="s">
        <x:v>381</x:v>
      </x:c>
      <x:c r="P20" s="5" t="s">
        <x:v>46</x:v>
      </x:c>
      <x:c r="Q20" s="5" t="str">
        <x:v>BUG-FR17-02</x:v>
      </x:c>
    </x:row>
    <x:row r="21" ht="55.20000076293945">
      <x:c r="A21" s="5" t="s">
        <x:v>382</x:v>
      </x:c>
      <x:c r="B21" s="5" t="s">
        <x:v>7</x:v>
      </x:c>
      <x:c r="C21" s="5" t="s">
        <x:v>90</x:v>
      </x:c>
      <x:c r="D21" s="5" t="s">
        <x:v>383</x:v>
      </x:c>
      <x:c r="E21" s="5" t="s">
        <x:v>39</x:v>
      </x:c>
      <x:c r="F21" s="5" t="s">
        <x:v>337</x:v>
      </x:c>
      <x:c r="G21" s="5" t="s">
        <x:v>320</x:v>
      </x:c>
      <x:c r="H21" s="5" t="s">
        <x:v>42</x:v>
      </x:c>
      <x:c r="I21" s="5" t="s">
        <x:v>384</x:v>
      </x:c>
      <x:c r="J21" s="6">
        <x:v>400</x:v>
      </x:c>
      <x:c r="K21" s="5" t="s">
        <x:v>54</x:v>
      </x:c>
      <x:c r="L21" s="5" t="str">
        <x:v>-</x:v>
      </x:c>
      <x:c r="M21" s="5" t="s">
        <x:v>14</x:v>
      </x:c>
      <x:c r="N21" s="5" t="str">
        <x:v>Ca kiểm thử bám đúng đặc tả, có dữ liệu và oracle kiểm tra được. Không cần chỉnh sửa.</x:v>
      </x:c>
      <x:c r="O21" s="5" t="s">
        <x:v>385</x:v>
      </x:c>
      <x:c r="P21" s="5" t="s">
        <x:v>46</x:v>
      </x:c>
      <x:c r="Q21" s="5" t="str">
        <x:v>BUG-FR17-02</x:v>
      </x:c>
    </x:row>
    <x:row r="22" ht="55.20000076293945">
      <x:c r="A22" s="5" t="s">
        <x:v>386</x:v>
      </x:c>
      <x:c r="B22" s="5" t="s">
        <x:v>7</x:v>
      </x:c>
      <x:c r="C22" s="5" t="s">
        <x:v>58</x:v>
      </x:c>
      <x:c r="D22" s="5" t="s">
        <x:v>387</x:v>
      </x:c>
      <x:c r="E22" s="5" t="s">
        <x:v>39</x:v>
      </x:c>
      <x:c r="F22" s="5" t="s">
        <x:v>337</x:v>
      </x:c>
      <x:c r="G22" s="5" t="s">
        <x:v>320</x:v>
      </x:c>
      <x:c r="H22" s="5" t="s">
        <x:v>42</x:v>
      </x:c>
      <x:c r="I22" s="5" t="s">
        <x:v>388</x:v>
      </x:c>
      <x:c r="J22" s="6">
        <x:v>400</x:v>
      </x:c>
      <x:c r="K22" s="5" t="s">
        <x:v>54</x:v>
      </x:c>
      <x:c r="L22" s="5" t="str">
        <x:v>-</x:v>
      </x:c>
      <x:c r="M22" s="5" t="s">
        <x:v>14</x:v>
      </x:c>
      <x:c r="N22" s="5" t="str">
        <x:v>Ca kiểm thử bám đúng đặc tả, có dữ liệu và oracle kiểm tra được. Không cần chỉnh sửa.</x:v>
      </x:c>
      <x:c r="O22" s="5" t="s">
        <x:v>389</x:v>
      </x:c>
      <x:c r="P22" s="5" t="s">
        <x:v>46</x:v>
      </x:c>
      <x:c r="Q22" s="5" t="str">
        <x:v>BUG-FR17-02</x:v>
      </x:c>
    </x:row>
    <x:row r="23" ht="41.400001525878906">
      <x:c r="A23" s="5" t="s">
        <x:v>390</x:v>
      </x:c>
      <x:c r="B23" s="5" t="s">
        <x:v>7</x:v>
      </x:c>
      <x:c r="C23" s="5" t="s">
        <x:v>90</x:v>
      </x:c>
      <x:c r="D23" s="5" t="s">
        <x:v>391</x:v>
      </x:c>
      <x:c r="E23" s="5" t="s">
        <x:v>39</x:v>
      </x:c>
      <x:c r="F23" s="5" t="s">
        <x:v>337</x:v>
      </x:c>
      <x:c r="G23" s="5" t="s">
        <x:v>320</x:v>
      </x:c>
      <x:c r="H23" s="5" t="s">
        <x:v>42</x:v>
      </x:c>
      <x:c r="I23" s="5" t="s">
        <x:v>392</x:v>
      </x:c>
      <x:c r="J23" s="6">
        <x:v>200</x:v>
      </x:c>
      <x:c r="K23" s="5" t="s">
        <x:v>54</x:v>
      </x:c>
      <x:c r="L23" s="5" t="str">
        <x:v>-</x:v>
      </x:c>
      <x:c r="M23" s="5" t="s">
        <x:v>16</x:v>
      </x:c>
      <x:c r="N23" s="5" t="str">
        <x:v>Bản AI ban đầu thiếu assertion schema hoặc hậu điều kiện có thể quan sát. Đã bổ sung expected keys và assertion nghiệp vụ tương ứng.</x:v>
      </x:c>
      <x:c r="O23" s="5" t="s">
        <x:v>88</x:v>
      </x:c>
      <x:c r="P23" s="5" t="s">
        <x:v>56</x:v>
      </x:c>
      <x:c r="Q23" s="5" t="str">
        <x:v>-</x:v>
      </x:c>
    </x:row>
    <x:row r="24" ht="55.20000076293945">
      <x:c r="A24" s="5" t="s">
        <x:v>393</x:v>
      </x:c>
      <x:c r="B24" s="5" t="s">
        <x:v>7</x:v>
      </x:c>
      <x:c r="C24" s="5" t="s">
        <x:v>90</x:v>
      </x:c>
      <x:c r="D24" s="5" t="s">
        <x:v>394</x:v>
      </x:c>
      <x:c r="E24" s="5" t="s">
        <x:v>39</x:v>
      </x:c>
      <x:c r="F24" s="5" t="s">
        <x:v>337</x:v>
      </x:c>
      <x:c r="G24" s="5" t="s">
        <x:v>320</x:v>
      </x:c>
      <x:c r="H24" s="5" t="s">
        <x:v>42</x:v>
      </x:c>
      <x:c r="I24" s="5" t="s">
        <x:v>395</x:v>
      </x:c>
      <x:c r="J24" s="6">
        <x:v>400</x:v>
      </x:c>
      <x:c r="K24" s="5" t="s">
        <x:v>54</x:v>
      </x:c>
      <x:c r="L24" s="5" t="str">
        <x:v>-</x:v>
      </x:c>
      <x:c r="M24" s="5" t="s">
        <x:v>15</x:v>
      </x:c>
      <x:c r="N24" s="5" t="str">
        <x:v>Bản AI ban đầu suy đoán oracle theo hành vi phổ biến thay vì truy vết SRS. Đã thay oracle bằng status/ràng buộc trong SRS và bổ sung liên kết FR/SEC.</x:v>
      </x:c>
      <x:c r="O24" s="5" t="s">
        <x:v>396</x:v>
      </x:c>
      <x:c r="P24" s="5" t="s">
        <x:v>46</x:v>
      </x:c>
      <x:c r="Q24" s="5" t="str">
        <x:v>BUG-FR17-02</x:v>
      </x:c>
    </x:row>
    <x:row r="25" ht="41.400001525878906">
      <x:c r="A25" s="5" t="s">
        <x:v>397</x:v>
      </x:c>
      <x:c r="B25" s="5" t="s">
        <x:v>7</x:v>
      </x:c>
      <x:c r="C25" s="5" t="s">
        <x:v>58</x:v>
      </x:c>
      <x:c r="D25" s="5" t="s">
        <x:v>398</x:v>
      </x:c>
      <x:c r="E25" s="5" t="s">
        <x:v>39</x:v>
      </x:c>
      <x:c r="F25" s="5" t="s">
        <x:v>337</x:v>
      </x:c>
      <x:c r="G25" s="5" t="s">
        <x:v>320</x:v>
      </x:c>
      <x:c r="H25" s="5" t="s">
        <x:v>42</x:v>
      </x:c>
      <x:c r="I25" s="5" t="s">
        <x:v>399</x:v>
      </x:c>
      <x:c r="J25" s="6">
        <x:v>400</x:v>
      </x:c>
      <x:c r="K25" s="5" t="s">
        <x:v>54</x:v>
      </x:c>
      <x:c r="L25" s="5" t="str">
        <x:v>-</x:v>
      </x:c>
      <x:c r="M25" s="5" t="s">
        <x:v>14</x:v>
      </x:c>
      <x:c r="N25" s="5" t="str">
        <x:v>Ca kiểm thử bám đúng đặc tả, có dữ liệu và oracle kiểm tra được. Không cần chỉnh sửa.</x:v>
      </x:c>
      <x:c r="O25" s="5" t="s">
        <x:v>400</x:v>
      </x:c>
      <x:c r="P25" s="5" t="s">
        <x:v>46</x:v>
      </x:c>
      <x:c r="Q25" s="5" t="str">
        <x:v>BUG-FR17-02</x:v>
      </x:c>
    </x:row>
    <x:row r="26" ht="41.400001525878906">
      <x:c r="A26" s="5" t="s">
        <x:v>401</x:v>
      </x:c>
      <x:c r="B26" s="5" t="s">
        <x:v>7</x:v>
      </x:c>
      <x:c r="C26" s="5" t="s">
        <x:v>58</x:v>
      </x:c>
      <x:c r="D26" s="5" t="s">
        <x:v>402</x:v>
      </x:c>
      <x:c r="E26" s="5" t="s">
        <x:v>39</x:v>
      </x:c>
      <x:c r="F26" s="5" t="s">
        <x:v>337</x:v>
      </x:c>
      <x:c r="G26" s="5" t="s">
        <x:v>320</x:v>
      </x:c>
      <x:c r="H26" s="5" t="s">
        <x:v>42</x:v>
      </x:c>
      <x:c r="I26" s="5" t="s">
        <x:v>403</x:v>
      </x:c>
      <x:c r="J26" s="6">
        <x:v>400</x:v>
      </x:c>
      <x:c r="K26" s="5" t="s">
        <x:v>54</x:v>
      </x:c>
      <x:c r="L26" s="5" t="str">
        <x:v>-</x:v>
      </x:c>
      <x:c r="M26" s="5" t="s">
        <x:v>14</x:v>
      </x:c>
      <x:c r="N26" s="5" t="str">
        <x:v>Ca kiểm thử bám đúng đặc tả, có dữ liệu và oracle kiểm tra được. Không cần chỉnh sửa.</x:v>
      </x:c>
      <x:c r="O26" s="5" t="s">
        <x:v>404</x:v>
      </x:c>
      <x:c r="P26" s="5" t="s">
        <x:v>46</x:v>
      </x:c>
      <x:c r="Q26" s="5" t="str">
        <x:v>BUG-FR17-02</x:v>
      </x:c>
    </x:row>
    <x:row r="27" ht="41.400001525878906">
      <x:c r="A27" s="5" t="s">
        <x:v>405</x:v>
      </x:c>
      <x:c r="B27" s="5" t="s">
        <x:v>7</x:v>
      </x:c>
      <x:c r="C27" s="5" t="s">
        <x:v>90</x:v>
      </x:c>
      <x:c r="D27" s="5" t="s">
        <x:v>406</x:v>
      </x:c>
      <x:c r="E27" s="5" t="s">
        <x:v>39</x:v>
      </x:c>
      <x:c r="F27" s="5" t="s">
        <x:v>337</x:v>
      </x:c>
      <x:c r="G27" s="5" t="s">
        <x:v>320</x:v>
      </x:c>
      <x:c r="H27" s="5" t="s">
        <x:v>42</x:v>
      </x:c>
      <x:c r="I27" s="5" t="s">
        <x:v>407</x:v>
      </x:c>
      <x:c r="J27" s="6">
        <x:v>200</x:v>
      </x:c>
      <x:c r="K27" s="5" t="s">
        <x:v>54</x:v>
      </x:c>
      <x:c r="L27" s="5" t="str">
        <x:v>-</x:v>
      </x:c>
      <x:c r="M27" s="5" t="s">
        <x:v>14</x:v>
      </x:c>
      <x:c r="N27" s="5" t="str">
        <x:v>Ca kiểm thử bám đúng đặc tả, có dữ liệu và oracle kiểm tra được. Không cần chỉnh sửa.</x:v>
      </x:c>
      <x:c r="O27" s="5" t="s">
        <x:v>88</x:v>
      </x:c>
      <x:c r="P27" s="5" t="s">
        <x:v>56</x:v>
      </x:c>
      <x:c r="Q27" s="5" t="str">
        <x:v>-</x:v>
      </x:c>
    </x:row>
    <x:row r="28" ht="41.400001525878906">
      <x:c r="A28" s="5" t="s">
        <x:v>408</x:v>
      </x:c>
      <x:c r="B28" s="5" t="s">
        <x:v>7</x:v>
      </x:c>
      <x:c r="C28" s="5" t="s">
        <x:v>90</x:v>
      </x:c>
      <x:c r="D28" s="5" t="s">
        <x:v>409</x:v>
      </x:c>
      <x:c r="E28" s="5" t="s">
        <x:v>39</x:v>
      </x:c>
      <x:c r="F28" s="5" t="s">
        <x:v>337</x:v>
      </x:c>
      <x:c r="G28" s="5" t="s">
        <x:v>320</x:v>
      </x:c>
      <x:c r="H28" s="5" t="s">
        <x:v>42</x:v>
      </x:c>
      <x:c r="I28" s="5" t="s">
        <x:v>410</x:v>
      </x:c>
      <x:c r="J28" s="6">
        <x:v>400</x:v>
      </x:c>
      <x:c r="K28" s="5" t="s">
        <x:v>54</x:v>
      </x:c>
      <x:c r="L28" s="5" t="str">
        <x:v>-</x:v>
      </x:c>
      <x:c r="M28" s="5" t="s">
        <x:v>14</x:v>
      </x:c>
      <x:c r="N28" s="5" t="str">
        <x:v>Ca kiểm thử bám đúng đặc tả, có dữ liệu và oracle kiểm tra được. Không cần chỉnh sửa.</x:v>
      </x:c>
      <x:c r="O28" s="5" t="s">
        <x:v>411</x:v>
      </x:c>
      <x:c r="P28" s="5" t="s">
        <x:v>46</x:v>
      </x:c>
      <x:c r="Q28" s="5" t="str">
        <x:v>BUG-FR17-02</x:v>
      </x:c>
    </x:row>
    <x:row r="29" ht="41.400001525878906">
      <x:c r="A29" s="5" t="s">
        <x:v>412</x:v>
      </x:c>
      <x:c r="B29" s="5" t="s">
        <x:v>7</x:v>
      </x:c>
      <x:c r="C29" s="5" t="s">
        <x:v>90</x:v>
      </x:c>
      <x:c r="D29" s="5" t="s">
        <x:v>413</x:v>
      </x:c>
      <x:c r="E29" s="5" t="s">
        <x:v>39</x:v>
      </x:c>
      <x:c r="F29" s="5" t="s">
        <x:v>337</x:v>
      </x:c>
      <x:c r="G29" s="5" t="s">
        <x:v>320</x:v>
      </x:c>
      <x:c r="H29" s="5" t="s">
        <x:v>42</x:v>
      </x:c>
      <x:c r="I29" s="5" t="s">
        <x:v>414</x:v>
      </x:c>
      <x:c r="J29" s="6">
        <x:v>400</x:v>
      </x:c>
      <x:c r="K29" s="5" t="s">
        <x:v>54</x:v>
      </x:c>
      <x:c r="L29" s="5" t="str">
        <x:v>-</x:v>
      </x:c>
      <x:c r="M29" s="5" t="s">
        <x:v>14</x:v>
      </x:c>
      <x:c r="N29" s="5" t="str">
        <x:v>Ca kiểm thử bám đúng đặc tả, có dữ liệu và oracle kiểm tra được. Không cần chỉnh sửa.</x:v>
      </x:c>
      <x:c r="O29" s="5" t="s">
        <x:v>415</x:v>
      </x:c>
      <x:c r="P29" s="5" t="s">
        <x:v>46</x:v>
      </x:c>
      <x:c r="Q29" s="5" t="str">
        <x:v>BUG-FR17-02</x:v>
      </x:c>
    </x:row>
    <x:row r="30" ht="55.20000076293945">
      <x:c r="A30" s="5" t="s">
        <x:v>416</x:v>
      </x:c>
      <x:c r="B30" s="5" t="s">
        <x:v>7</x:v>
      </x:c>
      <x:c r="C30" s="5" t="s">
        <x:v>78</x:v>
      </x:c>
      <x:c r="D30" s="5" t="s">
        <x:v>417</x:v>
      </x:c>
      <x:c r="E30" s="5" t="s">
        <x:v>39</x:v>
      </x:c>
      <x:c r="F30" s="5" t="s">
        <x:v>337</x:v>
      </x:c>
      <x:c r="G30" s="5" t="s">
        <x:v>320</x:v>
      </x:c>
      <x:c r="H30" s="5" t="s">
        <x:v>42</x:v>
      </x:c>
      <x:c r="I30" s="5" t="s">
        <x:v>418</x:v>
      </x:c>
      <x:c r="J30" s="6">
        <x:v>200</x:v>
      </x:c>
      <x:c r="K30" s="5" t="s">
        <x:v>54</x:v>
      </x:c>
      <x:c r="L30" s="5" t="str">
        <x:v>SEC-05</x:v>
      </x:c>
      <x:c r="M30" s="5" t="s">
        <x:v>16</x:v>
      </x:c>
      <x:c r="N30" s="5" t="str">
        <x:v>Bản AI ban đầu thiếu assertion schema hoặc hậu điều kiện có thể quan sát. Đã bổ sung expected keys và assertion nghiệp vụ tương ứng.</x:v>
      </x:c>
      <x:c r="O30" s="5" t="s">
        <x:v>88</x:v>
      </x:c>
      <x:c r="P30" s="5" t="s">
        <x:v>56</x:v>
      </x:c>
      <x:c r="Q30" s="5" t="str">
        <x:v>-</x:v>
      </x:c>
    </x:row>
    <x:row r="31" ht="55.20000076293945">
      <x:c r="A31" s="5" t="s">
        <x:v>419</x:v>
      </x:c>
      <x:c r="B31" s="5" t="s">
        <x:v>7</x:v>
      </x:c>
      <x:c r="C31" s="5" t="s">
        <x:v>78</x:v>
      </x:c>
      <x:c r="D31" s="5" t="s">
        <x:v>420</x:v>
      </x:c>
      <x:c r="E31" s="5" t="s">
        <x:v>39</x:v>
      </x:c>
      <x:c r="F31" s="5" t="s">
        <x:v>337</x:v>
      </x:c>
      <x:c r="G31" s="5" t="s">
        <x:v>320</x:v>
      </x:c>
      <x:c r="H31" s="5" t="s">
        <x:v>42</x:v>
      </x:c>
      <x:c r="I31" s="5" t="s">
        <x:v>421</x:v>
      </x:c>
      <x:c r="J31" s="6">
        <x:v>200</x:v>
      </x:c>
      <x:c r="K31" s="5" t="s">
        <x:v>54</x:v>
      </x:c>
      <x:c r="L31" s="5" t="str">
        <x:v>-</x:v>
      </x:c>
      <x:c r="M31" s="5" t="s">
        <x:v>14</x:v>
      </x:c>
      <x:c r="N31" s="5" t="str">
        <x:v>Ca kiểm thử bám đúng đặc tả, có dữ liệu và oracle kiểm tra được. Không cần chỉnh sửa.</x:v>
      </x:c>
      <x:c r="O31" s="5" t="s">
        <x:v>88</x:v>
      </x:c>
      <x:c r="P31" s="5" t="s">
        <x:v>56</x:v>
      </x:c>
      <x:c r="Q31" s="5" t="str">
        <x:v>-</x:v>
      </x:c>
    </x:row>
    <x:row r="32" ht="27.600000381469727">
      <x:c r="A32" s="5" t="s">
        <x:v>422</x:v>
      </x:c>
      <x:c r="B32" s="5" t="s">
        <x:v>7</x:v>
      </x:c>
      <x:c r="C32" s="5" t="s">
        <x:v>37</x:v>
      </x:c>
      <x:c r="D32" s="5" t="s">
        <x:v>423</x:v>
      </x:c>
      <x:c r="E32" s="5" t="s">
        <x:v>424</x:v>
      </x:c>
      <x:c r="F32" s="5" t="s">
        <x:v>425</x:v>
      </x:c>
      <x:c r="G32" s="5" t="s">
        <x:v>320</x:v>
      </x:c>
      <x:c r="H32" s="5" t="s">
        <x:v>42</x:v>
      </x:c>
      <x:c r="I32" s="5" t="s">
        <x:v>321</x:v>
      </x:c>
      <x:c r="J32" s="6">
        <x:v>200</x:v>
      </x:c>
      <x:c r="K32" s="5" t="s">
        <x:v>54</x:v>
      </x:c>
      <x:c r="L32" s="5" t="str">
        <x:v>-</x:v>
      </x:c>
      <x:c r="M32" s="5" t="s">
        <x:v>14</x:v>
      </x:c>
      <x:c r="N32" s="5" t="str">
        <x:v>Ca kiểm thử bám đúng đặc tả, có dữ liệu và oracle kiểm tra được. Không cần chỉnh sửa.</x:v>
      </x:c>
      <x:c r="O32" s="5" t="s">
        <x:v>88</x:v>
      </x:c>
      <x:c r="P32" s="5" t="s">
        <x:v>56</x:v>
      </x:c>
      <x:c r="Q32" s="5" t="str">
        <x:v>-</x:v>
      </x:c>
    </x:row>
    <x:row r="33" ht="41.400001525878906">
      <x:c r="A33" s="5" t="s">
        <x:v>426</x:v>
      </x:c>
      <x:c r="B33" s="5" t="s">
        <x:v>7</x:v>
      </x:c>
      <x:c r="C33" s="5" t="s">
        <x:v>78</x:v>
      </x:c>
      <x:c r="D33" s="5" t="s">
        <x:v>427</x:v>
      </x:c>
      <x:c r="E33" s="5" t="s">
        <x:v>424</x:v>
      </x:c>
      <x:c r="F33" s="5" t="s">
        <x:v>425</x:v>
      </x:c>
      <x:c r="G33" s="5" t="s">
        <x:v>187</x:v>
      </x:c>
      <x:c r="H33" s="5" t="s">
        <x:v>42</x:v>
      </x:c>
      <x:c r="I33" s="5" t="s">
        <x:v>321</x:v>
      </x:c>
      <x:c r="J33" s="6">
        <x:v>403</x:v>
      </x:c>
      <x:c r="K33" s="5" t="s">
        <x:v>54</x:v>
      </x:c>
      <x:c r="L33" s="5" t="str">
        <x:v>SEC-03</x:v>
      </x:c>
      <x:c r="M33" s="5" t="s">
        <x:v>14</x:v>
      </x:c>
      <x:c r="N33" s="5" t="str">
        <x:v>Ca kiểm thử bám đúng đặc tả, có dữ liệu và oracle kiểm tra được. Không cần chỉnh sửa.</x:v>
      </x:c>
      <x:c r="O33" s="5" t="s">
        <x:v>428</x:v>
      </x:c>
      <x:c r="P33" s="5" t="s">
        <x:v>46</x:v>
      </x:c>
      <x:c r="Q33" s="5" t="str">
        <x:v>BUG-FR17-01</x:v>
      </x:c>
    </x:row>
    <x:row r="34" ht="27.600000381469727">
      <x:c r="A34" s="5" t="s">
        <x:v>429</x:v>
      </x:c>
      <x:c r="B34" s="5" t="s">
        <x:v>7</x:v>
      </x:c>
      <x:c r="C34" s="5" t="s">
        <x:v>78</x:v>
      </x:c>
      <x:c r="D34" s="5" t="s">
        <x:v>430</x:v>
      </x:c>
      <x:c r="E34" s="5" t="s">
        <x:v>424</x:v>
      </x:c>
      <x:c r="F34" s="5" t="s">
        <x:v>431</x:v>
      </x:c>
      <x:c r="G34" s="5" t="s">
        <x:v>41</x:v>
      </x:c>
      <x:c r="H34" s="5" t="s">
        <x:v>42</x:v>
      </x:c>
      <x:c r="I34" s="5" t="s">
        <x:v>321</x:v>
      </x:c>
      <x:c r="J34" s="6">
        <x:v>401</x:v>
      </x:c>
      <x:c r="K34" s="5" t="s">
        <x:v>54</x:v>
      </x:c>
      <x:c r="L34" s="5" t="str">
        <x:v>SEC-02</x:v>
      </x:c>
      <x:c r="M34" s="5" t="s">
        <x:v>14</x:v>
      </x:c>
      <x:c r="N34" s="5" t="str">
        <x:v>Ca kiểm thử bám đúng đặc tả, có dữ liệu và oracle kiểm tra được. Không cần chỉnh sửa.</x:v>
      </x:c>
      <x:c r="O34" s="5" t="s">
        <x:v>328</x:v>
      </x:c>
      <x:c r="P34" s="5" t="s">
        <x:v>56</x:v>
      </x:c>
      <x:c r="Q34" s="5" t="str">
        <x:v>-</x:v>
      </x:c>
    </x:row>
    <x:row r="35" ht="41.400001525878906">
      <x:c r="A35" s="5" t="s">
        <x:v>432</x:v>
      </x:c>
      <x:c r="B35" s="5" t="s">
        <x:v>7</x:v>
      </x:c>
      <x:c r="C35" s="5" t="s">
        <x:v>78</x:v>
      </x:c>
      <x:c r="D35" s="5" t="s">
        <x:v>433</x:v>
      </x:c>
      <x:c r="E35" s="5" t="s">
        <x:v>424</x:v>
      </x:c>
      <x:c r="F35" s="5" t="s">
        <x:v>431</x:v>
      </x:c>
      <x:c r="G35" s="5" t="s">
        <x:v>264</x:v>
      </x:c>
      <x:c r="H35" s="5" t="s">
        <x:v>42</x:v>
      </x:c>
      <x:c r="I35" s="5" t="s">
        <x:v>321</x:v>
      </x:c>
      <x:c r="J35" s="6">
        <x:v>403</x:v>
      </x:c>
      <x:c r="K35" s="5" t="s">
        <x:v>54</x:v>
      </x:c>
      <x:c r="L35" s="5" t="str">
        <x:v>SEC-02</x:v>
      </x:c>
      <x:c r="M35" s="5" t="s">
        <x:v>15</x:v>
      </x:c>
      <x:c r="N35" s="5" t="str">
        <x:v>Bản AI ban đầu suy đoán oracle theo hành vi phổ biến thay vì truy vết SRS. Đã thay oracle bằng status/ràng buộc trong SRS và bổ sung liên kết FR/SEC.</x:v>
      </x:c>
      <x:c r="O35" s="5" t="s">
        <x:v>331</x:v>
      </x:c>
      <x:c r="P35" s="5" t="s">
        <x:v>56</x:v>
      </x:c>
      <x:c r="Q35" s="5" t="str">
        <x:v>-</x:v>
      </x:c>
    </x:row>
    <x:row r="36" ht="41.400001525878906">
      <x:c r="A36" s="5" t="s">
        <x:v>434</x:v>
      </x:c>
      <x:c r="B36" s="5" t="s">
        <x:v>7</x:v>
      </x:c>
      <x:c r="C36" s="5" t="s">
        <x:v>37</x:v>
      </x:c>
      <x:c r="D36" s="5" t="s">
        <x:v>435</x:v>
      </x:c>
      <x:c r="E36" s="5" t="s">
        <x:v>424</x:v>
      </x:c>
      <x:c r="F36" s="5" t="s">
        <x:v>436</x:v>
      </x:c>
      <x:c r="G36" s="5" t="s">
        <x:v>320</x:v>
      </x:c>
      <x:c r="H36" s="5" t="s">
        <x:v>42</x:v>
      </x:c>
      <x:c r="I36" s="5" t="s">
        <x:v>321</x:v>
      </x:c>
      <x:c r="J36" s="6">
        <x:v>404</x:v>
      </x:c>
      <x:c r="K36" s="5" t="s">
        <x:v>54</x:v>
      </x:c>
      <x:c r="L36" s="5" t="str">
        <x:v>-</x:v>
      </x:c>
      <x:c r="M36" s="5" t="s">
        <x:v>14</x:v>
      </x:c>
      <x:c r="N36" s="5" t="str">
        <x:v>Ca kiểm thử bám đúng đặc tả, có dữ liệu và oracle kiểm tra được. Không cần chỉnh sửa.</x:v>
      </x:c>
      <x:c r="O36" s="5" t="s">
        <x:v>437</x:v>
      </x:c>
      <x:c r="P36" s="5" t="s">
        <x:v>46</x:v>
      </x:c>
      <x:c r="Q36" s="5" t="str">
        <x:v>BUG-FR17-04</x:v>
      </x:c>
    </x:row>
    <x:row r="37" ht="41.400001525878906">
      <x:c r="A37" s="5" t="s">
        <x:v>438</x:v>
      </x:c>
      <x:c r="B37" s="5" t="s">
        <x:v>7</x:v>
      </x:c>
      <x:c r="C37" s="5" t="s">
        <x:v>58</x:v>
      </x:c>
      <x:c r="D37" s="5" t="s">
        <x:v>439</x:v>
      </x:c>
      <x:c r="E37" s="5" t="s">
        <x:v>424</x:v>
      </x:c>
      <x:c r="F37" s="5" t="s">
        <x:v>440</x:v>
      </x:c>
      <x:c r="G37" s="5" t="s">
        <x:v>320</x:v>
      </x:c>
      <x:c r="H37" s="5" t="s">
        <x:v>42</x:v>
      </x:c>
      <x:c r="I37" s="5" t="s">
        <x:v>321</x:v>
      </x:c>
      <x:c r="J37" s="6">
        <x:v>400</x:v>
      </x:c>
      <x:c r="K37" s="5" t="s">
        <x:v>54</x:v>
      </x:c>
      <x:c r="L37" s="5" t="str">
        <x:v>-</x:v>
      </x:c>
      <x:c r="M37" s="5" t="s">
        <x:v>16</x:v>
      </x:c>
      <x:c r="N37" s="5" t="str">
        <x:v>Bản AI ban đầu thiếu assertion schema hoặc hậu điều kiện có thể quan sát. Đã bổ sung expected keys và assertion nghiệp vụ tương ứng.</x:v>
      </x:c>
      <x:c r="O37" s="5" t="s">
        <x:v>441</x:v>
      </x:c>
      <x:c r="P37" s="5" t="s">
        <x:v>46</x:v>
      </x:c>
      <x:c r="Q37" s="5" t="str">
        <x:v>BUG-FR17-04</x:v>
      </x:c>
    </x:row>
    <x:row r="38" ht="55.20000076293945">
      <x:c r="A38" s="5" t="s">
        <x:v>442</x:v>
      </x:c>
      <x:c r="B38" s="5" t="s">
        <x:v>164</x:v>
      </x:c>
      <x:c r="C38" s="5" t="s">
        <x:v>78</x:v>
      </x:c>
      <x:c r="D38" s="5" t="s">
        <x:v>443</x:v>
      </x:c>
      <x:c r="E38" s="5" t="s">
        <x:v>39</x:v>
      </x:c>
      <x:c r="F38" s="5" t="s">
        <x:v>337</x:v>
      </x:c>
      <x:c r="G38" s="5" t="s">
        <x:v>187</x:v>
      </x:c>
      <x:c r="H38" s="5" t="s">
        <x:v>42</x:v>
      </x:c>
      <x:c r="I38" s="5" t="s">
        <x:v>444</x:v>
      </x:c>
      <x:c r="J38" s="6">
        <x:v>403</x:v>
      </x:c>
      <x:c r="K38" s="5" t="s">
        <x:v>54</x:v>
      </x:c>
      <x:c r="L38" s="5" t="str">
        <x:v>SEC-03</x:v>
      </x:c>
      <x:c r="M38" s="5" t="s">
        <x:v>168</x:v>
      </x:c>
      <x:c r="N38" s="5" t="str">
        <x:v>AI ban đầu chỉ dùng token user thường, chưa thử giả mạo role trong body để kiểm tra server có tin dữ liệu phía client hay không. Không áp dụng; đây là ca sinh viên bổ sung sau kiểm toán AI.</x:v>
      </x:c>
      <x:c r="O38" s="5" t="s">
        <x:v>445</x:v>
      </x:c>
      <x:c r="P38" s="5" t="s">
        <x:v>46</x:v>
      </x:c>
      <x:c r="Q38" s="5" t="str">
        <x:v>BUG-FR17-01</x:v>
      </x:c>
    </x:row>
    <x:row r="39" ht="41.400001525878906">
      <x:c r="A39" s="5" t="s">
        <x:v>446</x:v>
      </x:c>
      <x:c r="B39" s="5" t="s">
        <x:v>164</x:v>
      </x:c>
      <x:c r="C39" s="5" t="s">
        <x:v>298</x:v>
      </x:c>
      <x:c r="D39" s="5" t="s">
        <x:v>447</x:v>
      </x:c>
      <x:c r="E39" s="5" t="s">
        <x:v>39</x:v>
      </x:c>
      <x:c r="F39" s="5" t="s">
        <x:v>337</x:v>
      </x:c>
      <x:c r="G39" s="5" t="s">
        <x:v>320</x:v>
      </x:c>
      <x:c r="H39" s="5" t="s">
        <x:v>42</x:v>
      </x:c>
      <x:c r="I39" s="5" t="s">
        <x:v>448</x:v>
      </x:c>
      <x:c r="J39" s="6">
        <x:v>409</x:v>
      </x:c>
      <x:c r="K39" s="5" t="s">
        <x:v>449</x:v>
      </x:c>
      <x:c r="L39" s="5" t="str">
        <x:v>SEC-05</x:v>
      </x:c>
      <x:c r="M39" s="5" t="s">
        <x:v>168</x:v>
      </x:c>
      <x:c r="N39" s="5" t="str">
        <x:v>AI ban đầu chưa kiểm tra tính duy nhất của code dưới hai request tạo đồng thời. Không áp dụng; đây là ca sinh viên bổ sung sau kiểm toán AI.</x:v>
      </x:c>
      <x:c r="O39" s="5" t="s">
        <x:v>365</x:v>
      </x:c>
      <x:c r="P39" s="5" t="s">
        <x:v>46</x:v>
      </x:c>
      <x:c r="Q39" s="5" t="str">
        <x:v>BUG-FR17-03</x:v>
      </x:c>
    </x:row>
    <x:row r="40" ht="41.400001525878906">
      <x:c r="A40" s="5" t="s">
        <x:v>450</x:v>
      </x:c>
      <x:c r="B40" s="5" t="s">
        <x:v>164</x:v>
      </x:c>
      <x:c r="C40" s="5" t="s">
        <x:v>154</x:v>
      </x:c>
      <x:c r="D40" s="5" t="s">
        <x:v>451</x:v>
      </x:c>
      <x:c r="E40" s="5" t="s">
        <x:v>424</x:v>
      </x:c>
      <x:c r="F40" s="5" t="s">
        <x:v>431</x:v>
      </x:c>
      <x:c r="G40" s="5" t="s">
        <x:v>320</x:v>
      </x:c>
      <x:c r="H40" s="5" t="s">
        <x:v>42</x:v>
      </x:c>
      <x:c r="I40" s="5" t="s">
        <x:v>321</x:v>
      </x:c>
      <x:c r="J40" s="6">
        <x:v>409</x:v>
      </x:c>
      <x:c r="K40" s="5" t="s">
        <x:v>452</x:v>
      </x:c>
      <x:c r="L40" s="5" t="str">
        <x:v>-</x:v>
      </x:c>
      <x:c r="M40" s="5" t="s">
        <x:v>168</x:v>
      </x:c>
      <x:c r="N40" s="5" t="str">
        <x:v>AI ban đầu chưa bao phủ toàn vẹn tham chiếu khi xóa coupon đã phát sinh bản ghi usage. Không áp dụng; đây là ca sinh viên bổ sung sau kiểm toán AI.</x:v>
      </x:c>
      <x:c r="O40" s="5" t="s">
        <x:v>453</x:v>
      </x:c>
      <x:c r="P40" s="5" t="s">
        <x:v>46</x:v>
      </x:c>
      <x:c r="Q40" s="5" t="str">
        <x:v>REVIEW</x:v>
      </x:c>
    </x:row>
    <x:row r="41" ht="41.400001525878906">
      <x:c r="A41" s="5" t="s">
        <x:v>454</x:v>
      </x:c>
      <x:c r="B41" s="5" t="s">
        <x:v>164</x:v>
      </x:c>
      <x:c r="C41" s="5" t="s">
        <x:v>58</x:v>
      </x:c>
      <x:c r="D41" s="5" t="s">
        <x:v>455</x:v>
      </x:c>
      <x:c r="E41" s="5" t="s">
        <x:v>39</x:v>
      </x:c>
      <x:c r="F41" s="5" t="s">
        <x:v>337</x:v>
      </x:c>
      <x:c r="G41" s="5" t="s">
        <x:v>320</x:v>
      </x:c>
      <x:c r="H41" s="5" t="s">
        <x:v>42</x:v>
      </x:c>
      <x:c r="I41" s="5" t="s">
        <x:v>456</x:v>
      </x:c>
      <x:c r="J41" s="6">
        <x:v>200</x:v>
      </x:c>
      <x:c r="K41" s="5" t="s">
        <x:v>54</x:v>
      </x:c>
      <x:c r="L41" s="5" t="str">
        <x:v>-</x:v>
      </x:c>
      <x:c r="M41" s="5" t="s">
        <x:v>168</x:v>
      </x:c>
      <x:c r="N41" s="5" t="str">
        <x:v>AI ban đầu chưa xét Unicode confusable và chính sách chuẩn hóa code coupon. Không áp dụng; đây là ca sinh viên bổ sung sau kiểm toán AI.</x:v>
      </x:c>
      <x:c r="O41" s="5" t="s">
        <x:v>88</x:v>
      </x:c>
      <x:c r="P41" s="5" t="s">
        <x:v>56</x:v>
      </x:c>
      <x:c r="Q41" s="5" t="str">
        <x:v>-</x:v>
      </x:c>
    </x:row>
    <x:row r="42" ht="55.20000076293945">
      <x:c r="A42" s="5" t="s">
        <x:v>457</x:v>
      </x:c>
      <x:c r="B42" s="5" t="s">
        <x:v>164</x:v>
      </x:c>
      <x:c r="C42" s="5" t="s">
        <x:v>78</x:v>
      </x:c>
      <x:c r="D42" s="5" t="s">
        <x:v>458</x:v>
      </x:c>
      <x:c r="E42" s="5" t="s">
        <x:v>39</x:v>
      </x:c>
      <x:c r="F42" s="5" t="s">
        <x:v>337</x:v>
      </x:c>
      <x:c r="G42" s="5" t="s">
        <x:v>320</x:v>
      </x:c>
      <x:c r="H42" s="5" t="s">
        <x:v>42</x:v>
      </x:c>
      <x:c r="I42" s="5" t="s">
        <x:v>459</x:v>
      </x:c>
      <x:c r="J42" s="6">
        <x:v>200</x:v>
      </x:c>
      <x:c r="K42" s="5" t="s">
        <x:v>460</x:v>
      </x:c>
      <x:c r="L42" s="5" t="str">
        <x:v>-</x:v>
      </x:c>
      <x:c r="M42" s="5" t="s">
        <x:v>168</x:v>
      </x:c>
      <x:c r="N42" s="5" t="str">
        <x:v>AI ban đầu chỉ gửi các trường công khai, chưa kiểm tra over-posting trường nội bộ is_active. Không áp dụng; đây là ca sinh viên bổ sung sau kiểm toán AI.</x:v>
      </x:c>
      <x:c r="O42" s="5" t="s">
        <x:v>88</x:v>
      </x:c>
      <x:c r="P42" s="5" t="s">
        <x:v>56</x:v>
      </x:c>
      <x:c r="Q42" s="5" t="str">
        <x:v>-</x:v>
      </x:c>
    </x:row>
  </x:sheetData>
  <x:mergeCells>
    <x:mergeCell ref="A1:Q1"/>
  </x:mergeCells>
  <x:conditionalFormatting sqref="M3:M42">
    <x:cfRule type="containsText" dxfId="0" priority="3" operator="between" text="INCOMPLETE">
      <x:formula>NOT(ISERROR(SEARCH("INCOMPLETE",M3)))</x:formula>
    </x:cfRule>
    <x:cfRule type="containsText" dxfId="1" priority="4" operator="between" text="INVALID">
      <x:formula>NOT(ISERROR(SEARCH("INVALID",M3)))</x:formula>
    </x:cfRule>
  </x:conditionalFormatting>
  <x:conditionalFormatting sqref="P3:P42">
    <x:cfRule type="containsText" dxfId="2" priority="1" operator="between" text="PASS">
      <x:formula>NOT(ISERROR(SEARCH("PASS",P3)))</x:formula>
    </x:cfRule>
    <x:cfRule type="containsText" dxfId="3" priority="2" operator="between" text="FAIL">
      <x:formula>NOT(ISERROR(SEARCH("FAIL",P3)))</x:formula>
    </x:cfRule>
  </x:conditionalFormatting>
  <x:dataValidations count="1">
    <x:dataValidation type="list" sqref="P3:P42">
      <x:formula1>"PASS,FAIL,NOT_RUN"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4d7f3b0c3ea4784"/>
  </x:tableParts>
</x:worksheet>
</file>