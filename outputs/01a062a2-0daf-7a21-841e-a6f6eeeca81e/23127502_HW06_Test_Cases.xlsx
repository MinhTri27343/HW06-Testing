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d0f476a09a4d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dae841406241fe"/>
    <x:sheet xmlns:r="http://schemas.openxmlformats.org/officeDocument/2006/relationships" name="FR-03" sheetId="2" r:id="Rc042baf1d1e043ae"/>
    <x:sheet xmlns:r="http://schemas.openxmlformats.org/officeDocument/2006/relationships" name="FR-09" sheetId="3" r:id="R8374abe5d9e44c52"/>
    <x:sheet xmlns:r="http://schemas.openxmlformats.org/officeDocument/2006/relationships" name="FR-17" sheetId="4" r:id="R6d4a1bf7fab54de5"/>
    <x:sheet xmlns:r="http://schemas.openxmlformats.org/officeDocument/2006/relationships" name="Bug Matrix" sheetId="5" r:id="Re9026d45de814d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11"/>
      <x:color rgb="FF595959"/>
      <x:name val="Carlito"/>
    </x:font>
    <x:font>
      <x:b/>
      <x:sz val="14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F4F7FA"/>
      </x:patternFill>
    </x:fill>
  </x:fills>
  <x:borders count="13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200" fontId="0" fillId="0" borderId="2" xfId="0" applyNumberFormat="1" applyFont="1" applyFill="1" applyBorder="1"/>
    <x:xf numFmtId="200" fontId="0" fillId="0" borderId="5" xfId="0" applyNumberFormat="1" applyFont="1" applyFill="1" applyBorder="1"/>
    <x:xf numFmtId="200" fontId="4" fillId="3" borderId="8" xfId="0" applyNumberFormat="1" applyFont="1" applyFill="1" applyBorder="1"/>
    <x:xf numFmtId="201" fontId="0" fillId="0" borderId="2" xfId="0" applyNumberFormat="1" applyFont="1" applyFill="1" applyBorder="1"/>
    <x:xf numFmtId="201" fontId="0" fillId="0" borderId="5" xfId="0" applyNumberFormat="1" applyFont="1" applyFill="1" applyBorder="1"/>
    <x:xf numFmtId="201" fontId="4" fillId="3" borderId="8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4" fillId="3" borderId="10" xfId="0" applyNumberFormat="1" applyFont="1" applyFill="1" applyBorder="1" applyAlignment="1">
      <x:alignment wrapText="1"/>
    </x:xf>
    <x:xf numFmtId="0" fontId="4" fillId="3" borderId="11" xfId="0" applyNumberFormat="1" applyFont="1" applyFill="1" applyBorder="1" applyAlignment="1">
      <x:alignment wrapText="1"/>
    </x:xf>
    <x:xf numFmtId="0" fontId="4" fillId="3" borderId="12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horizontal="center" wrapText="1"/>
    </x:xf>
    <x:xf numFmtId="0" fontId="4" fillId="3" borderId="11" xfId="0" applyNumberFormat="1" applyFont="1" applyFill="1" applyBorder="1" applyAlignment="1">
      <x:alignment horizontal="center" wrapText="1"/>
    </x:xf>
    <x:xf numFmtId="0" fontId="4" fillId="3" borderId="12" xfId="0" applyNumberFormat="1" applyFont="1" applyFill="1" applyBorder="1" applyAlignment="1">
      <x:alignment horizontal="center" wrapText="1"/>
    </x:xf>
    <x:xf numFmtId="0" fontId="4" fillId="3" borderId="10" xfId="0" applyNumberFormat="1" applyFont="1" applyFill="1" applyBorder="1" applyAlignment="1">
      <x:alignment horizontal="center" vertical="center" wrapText="1"/>
    </x:xf>
    <x:xf numFmtId="0" fontId="4" fillId="3" borderId="11" xfId="0" applyNumberFormat="1" applyFont="1" applyFill="1" applyBorder="1" applyAlignment="1">
      <x:alignment horizontal="center" vertical="center" wrapText="1"/>
    </x:xf>
    <x:xf numFmtId="0" fontId="4" fillId="3" borderId="1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12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6c75c772854cac" /><Relationship Type="http://schemas.openxmlformats.org/officeDocument/2006/relationships/theme" Target="/xl/theme/theme1.xml" Id="R4bef84e65e5644bc" /><Relationship Type="http://schemas.openxmlformats.org/officeDocument/2006/relationships/sharedStrings" Target="/xl/sharedStrings.xml" Id="R85d990292958457b" /><Relationship Type="http://schemas.openxmlformats.org/officeDocument/2006/relationships/worksheet" Target="/xl/worksheets/sheet1.xml" Id="R66dae841406241fe" /><Relationship Type="http://schemas.openxmlformats.org/officeDocument/2006/relationships/worksheet" Target="/xl/worksheets/sheet2.xml" Id="Rc042baf1d1e043ae" /><Relationship Type="http://schemas.openxmlformats.org/officeDocument/2006/relationships/worksheet" Target="/xl/worksheets/sheet3.xml" Id="R8374abe5d9e44c52" /><Relationship Type="http://schemas.openxmlformats.org/officeDocument/2006/relationships/worksheet" Target="/xl/worksheets/sheet4.xml" Id="R6d4a1bf7fab54de5" /><Relationship Type="http://schemas.openxmlformats.org/officeDocument/2006/relationships/worksheet" Target="/xl/worksheets/sheet5.xml" Id="Re9026d45de814dab" /></Relationships>
</file>

<file path=xl/tables/table1.xml><?xml version="1.0" encoding="utf-8"?>
<x:table xmlns:x="http://schemas.openxmlformats.org/spreadsheetml/2006/main" id="1" name="FR03CasesTable" displayName="FR03CasesTable" ref="A2:Q42" headerRowCount="1" totalsRowCount="0" totalsRowShown="0">
  <x:tableColumns count="17">
    <x:tableColumn id="1" name="ID"/>
    <x:tableColumn id="2" name="Nguồn"/>
    <x:tableColumn id="3" name="Loại"/>
    <x:tableColumn id="4" name="Tên ca kiểm thử"/>
    <x:tableColumn id="5" name="Method"/>
    <x:tableColumn id="6" name="Endpoint"/>
    <x:tableColumn id="7" name="Auth"/>
    <x:tableColumn id="8" name="Tiền điều kiện"/>
    <x:tableColumn id="9" name="Dữ liệu đầu vào"/>
    <x:tableColumn id="10" name="HTTP mong đợi"/>
    <x:tableColumn id="11" name="Oracle"/>
    <x:tableColumn id="12" name="SEC"/>
    <x:tableColumn id="13" name="Audit"/>
    <x:tableColumn id="14" name="Lý do / Correction"/>
    <x:tableColumn id="15" name="Kết quả thực tế"/>
    <x:tableColumn id="16" name="Trạng thái"/>
    <x:tableColumn id="17" name="Bug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R09CasesTable" displayName="FR09CasesTable" ref="A2:Q42" headerRowCount="1" totalsRowCount="0" totalsRowShown="0">
  <x:tableColumns count="17">
    <x:tableColumn id="1" name="ID"/>
    <x:tableColumn id="2" name="Nguồn"/>
    <x:tableColumn id="3" name="Loại"/>
    <x:tableColumn id="4" name="Tên ca kiểm thử"/>
    <x:tableColumn id="5" name="Method"/>
    <x:tableColumn id="6" name="Endpoint"/>
    <x:tableColumn id="7" name="Auth"/>
    <x:tableColumn id="8" name="Tiền điều kiện"/>
    <x:tableColumn id="9" name="Dữ liệu đầu vào"/>
    <x:tableColumn id="10" name="HTTP mong đợi"/>
    <x:tableColumn id="11" name="Oracle"/>
    <x:tableColumn id="12" name="SEC"/>
    <x:tableColumn id="13" name="Audit"/>
    <x:tableColumn id="14" name="Lý do / Correction"/>
    <x:tableColumn id="15" name="Kết quả thực tế"/>
    <x:tableColumn id="16" name="Trạng thái"/>
    <x:tableColumn id="17" name="Bug 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R17CasesTable" displayName="FR17CasesTable" ref="A2:Q42" headerRowCount="1" totalsRowCount="0" totalsRowShown="0">
  <x:tableColumns count="17">
    <x:tableColumn id="1" name="ID"/>
    <x:tableColumn id="2" name="Nguồn"/>
    <x:tableColumn id="3" name="Loại"/>
    <x:tableColumn id="4" name="Tên ca kiểm thử"/>
    <x:tableColumn id="5" name="Method"/>
    <x:tableColumn id="6" name="Endpoint"/>
    <x:tableColumn id="7" name="Auth"/>
    <x:tableColumn id="8" name="Tiền điều kiện"/>
    <x:tableColumn id="9" name="Dữ liệu đầu vào"/>
    <x:tableColumn id="10" name="HTTP mong đợi"/>
    <x:tableColumn id="11" name="Oracle"/>
    <x:tableColumn id="12" name="SEC"/>
    <x:tableColumn id="13" name="Audit"/>
    <x:tableColumn id="14" name="Lý do / Correction"/>
    <x:tableColumn id="15" name="Kết quả thực tế"/>
    <x:tableColumn id="16" name="Trạng thái"/>
    <x:tableColumn id="17" name="Bug 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ugMatrixTable" displayName="BugMatrixTable" ref="A2:F14" headerRowCount="1" totalsRowCount="0" totalsRowShown="0">
  <x:tableColumns count="6">
    <x:tableColumn id="1" name="Bug ID"/>
    <x:tableColumn id="2" name="Feature"/>
    <x:tableColumn id="3" name="Test cases"/>
    <x:tableColumn id="4" name="Số ca"/>
    <x:tableColumn id="5" name="Trạng thái"/>
    <x:tableColumn id="6" name="GitHub Iss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81413233ce49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f8ebeebfe741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ac78a507934c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a52a7b8ebf43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30" customHeight="1">
      <x:c r="A1" s="4" t="str">
        <x:v>HW06 API TESTING - TEST SUMMARY</x:v>
      </x:c>
      <x:c r="B1" s="4"/>
      <x:c r="C1" s="4"/>
      <x:c r="D1" s="4"/>
      <x:c r="E1" s="4"/>
      <x:c r="F1" s="4"/>
      <x:c r="G1" s="4"/>
    </x:row>
    <x:row r="2">
      <x:c r="A2" s="7" t="str">
        <x:v>MSSV 23127502 | FR-03, FR-09, FR-17 | Base URL: http://127.0.0.1:3000</x:v>
      </x:c>
      <x:c r="B2" s="7"/>
      <x:c r="C2" s="7"/>
      <x:c r="D2" s="7"/>
      <x:c r="E2" s="7"/>
      <x:c r="F2" s="7"/>
      <x:c r="G2" s="7"/>
    </x:row>
    <x:row r="4">
      <x:c r="A4" s="9" t="str">
        <x:v>Feature</x:v>
      </x:c>
      <x:c r="B4" s="9" t="str">
        <x:v>Total</x:v>
      </x:c>
      <x:c r="C4" s="9" t="str">
        <x:v>Passed</x:v>
      </x:c>
      <x:c r="D4" s="9" t="str">
        <x:v>Failed</x:v>
      </x:c>
      <x:c r="E4" s="9" t="str">
        <x:v>Pass rate</x:v>
      </x:c>
      <x:c r="F4" s="9" t="str">
        <x:v>AI</x:v>
      </x:c>
      <x:c r="G4" s="9" t="str">
        <x:v>Human</x:v>
      </x:c>
    </x:row>
    <x:row r="5">
      <x:c r="A5" s="10" t="str">
        <x:v>FR-03</x:v>
      </x:c>
      <x:c r="B5" s="25" t="n">
        <x:f>COUNTA('FR-03'!A3:A42)</x:f>
        <x:v>40</x:v>
      </x:c>
      <x:c r="C5" s="25" t="n">
        <x:f>COUNTIF('FR-03'!P3:P42,"PASS")</x:f>
        <x:v>22</x:v>
      </x:c>
      <x:c r="D5" s="25" t="n">
        <x:f>COUNTIF('FR-03'!P3:P42,"FAIL")</x:f>
        <x:v>18</x:v>
      </x:c>
      <x:c r="E5" s="28" t="n">
        <x:f>IF(B5=0,0,C5/B5)</x:f>
        <x:v>0.55</x:v>
      </x:c>
      <x:c r="F5" s="11" t="n">
        <x:f>COUNTIF('FR-03'!B3:B42,"AI")</x:f>
        <x:v>35</x:v>
      </x:c>
      <x:c r="G5" s="12" t="n">
        <x:f>COUNTIF('FR-03'!B3:B42,"HUMAN")</x:f>
        <x:v>5</x:v>
      </x:c>
    </x:row>
    <x:row r="6">
      <x:c r="A6" s="13" t="str">
        <x:v>FR-09</x:v>
      </x:c>
      <x:c r="B6" s="26" t="n">
        <x:f>COUNTA('FR-09'!A3:A42)</x:f>
        <x:v>40</x:v>
      </x:c>
      <x:c r="C6" s="26" t="n">
        <x:f>COUNTIF('FR-09'!P3:P42,"PASS")</x:f>
        <x:v>29</x:v>
      </x:c>
      <x:c r="D6" s="26" t="n">
        <x:f>COUNTIF('FR-09'!P3:P42,"FAIL")</x:f>
        <x:v>11</x:v>
      </x:c>
      <x:c r="E6" s="29" t="n">
        <x:f>IF(B6=0,0,C6/B6)</x:f>
        <x:v>0.725</x:v>
      </x:c>
      <x:c r="F6" s="14" t="n">
        <x:f>COUNTIF('FR-09'!B3:B42,"AI")</x:f>
        <x:v>35</x:v>
      </x:c>
      <x:c r="G6" s="15" t="n">
        <x:f>COUNTIF('FR-09'!B3:B42,"HUMAN")</x:f>
        <x:v>5</x:v>
      </x:c>
    </x:row>
    <x:row r="7">
      <x:c r="A7" s="13" t="str">
        <x:v>FR-17</x:v>
      </x:c>
      <x:c r="B7" s="26" t="n">
        <x:f>COUNTA('FR-17'!A3:A42)</x:f>
        <x:v>40</x:v>
      </x:c>
      <x:c r="C7" s="26" t="n">
        <x:f>COUNTIF('FR-17'!P3:P42,"PASS")</x:f>
        <x:v>17</x:v>
      </x:c>
      <x:c r="D7" s="26" t="n">
        <x:f>COUNTIF('FR-17'!P3:P42,"FAIL")</x:f>
        <x:v>23</x:v>
      </x:c>
      <x:c r="E7" s="29" t="n">
        <x:f>IF(B7=0,0,C7/B7)</x:f>
        <x:v>0.425</x:v>
      </x:c>
      <x:c r="F7" s="14" t="n">
        <x:f>COUNTIF('FR-17'!B3:B42,"AI")</x:f>
        <x:v>35</x:v>
      </x:c>
      <x:c r="G7" s="15" t="n">
        <x:f>COUNTIF('FR-17'!B3:B42,"HUMAN")</x:f>
        <x:v>5</x:v>
      </x:c>
    </x:row>
    <x:row r="8">
      <x:c r="A8" s="22" t="str">
        <x:v>TOTAL</x:v>
      </x:c>
      <x:c r="B8" s="27" t="n">
        <x:f>SUM(B5:B7)</x:f>
        <x:v>120</x:v>
      </x:c>
      <x:c r="C8" s="27" t="n">
        <x:f>SUM(C5:C7)</x:f>
        <x:v>68</x:v>
      </x:c>
      <x:c r="D8" s="27" t="n">
        <x:f>SUM(D5:D7)</x:f>
        <x:v>52</x:v>
      </x:c>
      <x:c r="E8" s="30" t="n">
        <x:f>IF(B8=0,0,C8/B8)</x:f>
        <x:v>0.5666666666666667</x:v>
      </x:c>
      <x:c r="F8" s="23" t="n">
        <x:f>SUM(F5:F7)</x:f>
        <x:v>105</x:v>
      </x:c>
      <x:c r="G8" s="24" t="n">
        <x:f>SUM(G5:G7)</x:f>
        <x:v>15</x:v>
      </x:c>
    </x:row>
    <x:row r="10">
      <x:c r="A10" s="9" t="str">
        <x:v>Audit AI</x:v>
      </x:c>
      <x:c r="B10" s="9" t="str">
        <x:v>FR-03</x:v>
      </x:c>
      <x:c r="C10" s="9" t="str">
        <x:v>FR-09</x:v>
      </x:c>
      <x:c r="D10" s="9" t="str">
        <x:v>FR-17</x:v>
      </x:c>
    </x:row>
    <x:row r="11">
      <x:c r="A11" s="31" t="str">
        <x:v>VALID</x:v>
      </x:c>
      <x:c r="B11" s="32" t="n">
        <x:f>COUNTIF('FR-03'!M3:M42,"VALID")</x:f>
        <x:v>27</x:v>
      </x:c>
      <x:c r="C11" s="32" t="n">
        <x:f>COUNTIF('FR-09'!M3:M42,"VALID")</x:f>
        <x:v>27</x:v>
      </x:c>
      <x:c r="D11" s="33" t="n">
        <x:f>COUNTIF('FR-17'!M3:M42,"VALID")</x:f>
        <x:v>27</x:v>
      </x:c>
    </x:row>
    <x:row r="12">
      <x:c r="A12" s="34" t="str">
        <x:v>INVALID</x:v>
      </x:c>
      <x:c r="B12" s="35" t="n">
        <x:f>COUNTIF('FR-03'!M3:M42,"INVALID")</x:f>
        <x:v>3</x:v>
      </x:c>
      <x:c r="C12" s="35" t="n">
        <x:f>COUNTIF('FR-09'!M3:M42,"INVALID")</x:f>
        <x:v>3</x:v>
      </x:c>
      <x:c r="D12" s="36" t="n">
        <x:f>COUNTIF('FR-17'!M3:M42,"INVALID")</x:f>
        <x:v>3</x:v>
      </x:c>
    </x:row>
    <x:row r="13">
      <x:c r="A13" s="37" t="str">
        <x:v>INCOMPLETE</x:v>
      </x:c>
      <x:c r="B13" s="38" t="n">
        <x:f>COUNTIF('FR-03'!M3:M42,"INCOMPLETE")</x:f>
        <x:v>5</x:v>
      </x:c>
      <x:c r="C13" s="38" t="n">
        <x:f>COUNTIF('FR-09'!M3:M42,"INCOMPLETE")</x:f>
        <x:v>5</x:v>
      </x:c>
      <x:c r="D13" s="39" t="n">
        <x:f>COUNTIF('FR-17'!M3:M42,"INCOMPLETE")</x:f>
        <x:v>5</x:v>
      </x:c>
    </x:row>
    <x:row r="15">
      <x:c r="A15" s="42" t="str">
        <x:v>Nguồn: api_specification.md và SRS chính thức https://github.com/ttbhanh/eshop-sut</x:v>
      </x:c>
      <x:c r="B15" s="42"/>
      <x:c r="C15" s="42"/>
      <x:c r="D15" s="42"/>
      <x:c r="E15" s="42"/>
      <x:c r="F15" s="42"/>
      <x:c r="G15" s="42"/>
    </x:row>
  </x:sheetData>
  <x:mergeCells>
    <x:mergeCell ref="A1:G1"/>
    <x:mergeCell ref="A2:G2"/>
    <x:mergeCell ref="A15:G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2" hidden="0" customWidth="1"/>
    <x:col min="3" max="3" width="12" hidden="0" customWidth="1"/>
    <x:col min="4" max="4" width="35" hidden="0" customWidth="1"/>
    <x:col min="5" max="5" width="10" hidden="0" customWidth="1"/>
    <x:col min="6" max="6" width="34" hidden="0" customWidth="1"/>
    <x:col min="7" max="7" width="10" hidden="0" customWidth="1"/>
    <x:col min="8" max="8" width="36" hidden="0" customWidth="1"/>
    <x:col min="9" max="9" width="36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48" hidden="0" customWidth="1"/>
    <x:col min="15" max="15" width="48" hidden="0" customWidth="1"/>
    <x:col min="16" max="16" width="16" hidden="0" customWidth="1"/>
    <x:col min="17" max="17" width="16" hidden="0" customWidth="1"/>
  </x:cols>
  <x:sheetData>
    <x:row r="1">
      <x:c r="A1" s="45" t="str">
        <x:v>FR-03 - 40 TEST CASES (35 AI + 5 HUMAN)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</x:row>
    <x:row r="2">
      <x:c r="A2" s="56" t="str">
        <x:v>ID</x:v>
      </x:c>
      <x:c r="B2" s="57" t="str">
        <x:v>Nguồn</x:v>
      </x:c>
      <x:c r="C2" s="57" t="str">
        <x:v>Loại</x:v>
      </x:c>
      <x:c r="D2" s="57" t="str">
        <x:v>Tên ca kiểm thử</x:v>
      </x:c>
      <x:c r="E2" s="57" t="str">
        <x:v>Method</x:v>
      </x:c>
      <x:c r="F2" s="57" t="str">
        <x:v>Endpoint</x:v>
      </x:c>
      <x:c r="G2" s="57" t="str">
        <x:v>Auth</x:v>
      </x:c>
      <x:c r="H2" s="57" t="str">
        <x:v>Tiền điều kiện</x:v>
      </x:c>
      <x:c r="I2" s="57" t="str">
        <x:v>Dữ liệu đầu vào</x:v>
      </x:c>
      <x:c r="J2" s="57" t="str">
        <x:v>HTTP mong đợi</x:v>
      </x:c>
      <x:c r="K2" s="57" t="str">
        <x:v>Oracle</x:v>
      </x:c>
      <x:c r="L2" s="57" t="str">
        <x:v>SEC</x:v>
      </x:c>
      <x:c r="M2" s="57" t="str">
        <x:v>Audit</x:v>
      </x:c>
      <x:c r="N2" s="57" t="str">
        <x:v>Lý do / Correction</x:v>
      </x:c>
      <x:c r="O2" s="57" t="str">
        <x:v>Kết quả thực tế</x:v>
      </x:c>
      <x:c r="P2" s="57" t="str">
        <x:v>Trạng thái</x:v>
      </x:c>
      <x:c r="Q2" s="58" t="str">
        <x:v>Bug ID</x:v>
      </x:c>
    </x:row>
    <x:row r="3">
      <x:c r="A3" s="60" t="str">
        <x:v>FR-03-TC-001</x:v>
      </x:c>
      <x:c r="B3" s="60" t="str">
        <x:v>AI</x:v>
      </x:c>
      <x:c r="C3" s="60" t="str">
        <x:v>domain</x:v>
      </x:c>
      <x:c r="D3" s="60" t="str">
        <x:v>Email user đã đăng ký nhận OTP</x:v>
      </x:c>
      <x:c r="E3" s="60" t="str">
        <x:v>POST</x:v>
      </x:c>
      <x:c r="F3" s="60" t="str">
        <x:v>/api/forgot-password</x:v>
      </x:c>
      <x:c r="G3" s="60" t="str">
        <x:v>none</x:v>
      </x:c>
      <x:c r="H3" s="60" t="str">
        <x:v>Backend được reset và seed; baseUrl khả dụng.</x:v>
      </x:c>
      <x:c r="I3" s="60" t="str">
        <x:v>{"email":"test@eshop.com"}</x:v>
      </x:c>
      <x:c r="J3" s="61" t="n">
        <x:v>200</x:v>
      </x:c>
      <x:c r="K3" s="60" t="str">
        <x:v>otp-six-digits</x:v>
      </x:c>
      <x:c r="L3" s="60" t="str"/>
      <x:c r="M3" s="60" t="str">
        <x:v>VALID</x:v>
      </x:c>
      <x:c r="N3" s="60" t="str">
        <x:v>Ca kiểm thử bám đúng đặc tả, có dữ liệu và oracle kiểm tra được. Không cần chỉnh sửa.</x:v>
      </x:c>
      <x:c r="O3" s="60" t="str">
        <x:v>HTTP 200; 1 assertion lỗi: expected '1264' to match /^\d{6}$/</x:v>
      </x:c>
      <x:c r="P3" s="60" t="str">
        <x:v>FAIL</x:v>
      </x:c>
      <x:c r="Q3" s="60" t="str">
        <x:v>BUG-FR03-01</x:v>
      </x:c>
    </x:row>
    <x:row r="4">
      <x:c r="A4" s="60" t="str">
        <x:v>FR-03-TC-002</x:v>
      </x:c>
      <x:c r="B4" s="60" t="str">
        <x:v>AI</x:v>
      </x:c>
      <x:c r="C4" s="60" t="str">
        <x:v>domain</x:v>
      </x:c>
      <x:c r="D4" s="60" t="str">
        <x:v>Email admin đã đăng ký nhận OTP</x:v>
      </x:c>
      <x:c r="E4" s="60" t="str">
        <x:v>POST</x:v>
      </x:c>
      <x:c r="F4" s="60" t="str">
        <x:v>/api/forgot-password</x:v>
      </x:c>
      <x:c r="G4" s="60" t="str">
        <x:v>none</x:v>
      </x:c>
      <x:c r="H4" s="60" t="str">
        <x:v>Backend được reset và seed; baseUrl khả dụng.</x:v>
      </x:c>
      <x:c r="I4" s="60" t="str">
        <x:v>{"email":"admin@eshop.com"}</x:v>
      </x:c>
      <x:c r="J4" s="61" t="n">
        <x:v>200</x:v>
      </x:c>
      <x:c r="K4" s="60" t="str">
        <x:v>otp-six-digits</x:v>
      </x:c>
      <x:c r="L4" s="60" t="str"/>
      <x:c r="M4" s="60" t="str">
        <x:v>VALID</x:v>
      </x:c>
      <x:c r="N4" s="60" t="str">
        <x:v>Ca kiểm thử bám đúng đặc tả, có dữ liệu và oracle kiểm tra được. Không cần chỉnh sửa.</x:v>
      </x:c>
      <x:c r="O4" s="60" t="str">
        <x:v>HTTP 200; 1 assertion lỗi: expected '1915' to match /^\d{6}$/</x:v>
      </x:c>
      <x:c r="P4" s="60" t="str">
        <x:v>FAIL</x:v>
      </x:c>
      <x:c r="Q4" s="60" t="str">
        <x:v>BUG-FR03-01</x:v>
      </x:c>
    </x:row>
    <x:row r="5">
      <x:c r="A5" s="60" t="str">
        <x:v>FR-03-TC-003</x:v>
      </x:c>
      <x:c r="B5" s="60" t="str">
        <x:v>AI</x:v>
      </x:c>
      <x:c r="C5" s="60" t="str">
        <x:v>domain</x:v>
      </x:c>
      <x:c r="D5" s="60" t="str">
        <x:v>Email chưa đăng ký bị từ chối</x:v>
      </x:c>
      <x:c r="E5" s="60" t="str">
        <x:v>POST</x:v>
      </x:c>
      <x:c r="F5" s="60" t="str">
        <x:v>/api/forgot-password</x:v>
      </x:c>
      <x:c r="G5" s="60" t="str">
        <x:v>none</x:v>
      </x:c>
      <x:c r="H5" s="60" t="str">
        <x:v>Backend được reset và seed; baseUrl khả dụng.</x:v>
      </x:c>
      <x:c r="I5" s="60" t="str">
        <x:v>{"email":"missing@eshop.com"}</x:v>
      </x:c>
      <x:c r="J5" s="61" t="n">
        <x:v>404</x:v>
      </x:c>
      <x:c r="K5" s="60" t="str">
        <x:v>status-and-schema</x:v>
      </x:c>
      <x:c r="L5" s="60" t="str"/>
      <x:c r="M5" s="60" t="str">
        <x:v>VALID</x:v>
      </x:c>
      <x:c r="N5" s="60" t="str">
        <x:v>Ca kiểm thử bám đúng đặc tả, có dữ liệu và oracle kiểm tra được. Không cần chỉnh sửa.</x:v>
      </x:c>
      <x:c r="O5" s="60" t="str">
        <x:v>HTTP 404; tất cả assertion đạt.</x:v>
      </x:c>
      <x:c r="P5" s="60" t="str">
        <x:v>PASS</x:v>
      </x:c>
      <x:c r="Q5" s="60" t="str"/>
    </x:row>
    <x:row r="6">
      <x:c r="A6" s="60" t="str">
        <x:v>FR-03-TC-004</x:v>
      </x:c>
      <x:c r="B6" s="60" t="str">
        <x:v>AI</x:v>
      </x:c>
      <x:c r="C6" s="60" t="str">
        <x:v>partition</x:v>
      </x:c>
      <x:c r="D6" s="60" t="str">
        <x:v>Email rỗng</x:v>
      </x:c>
      <x:c r="E6" s="60" t="str">
        <x:v>POST</x:v>
      </x:c>
      <x:c r="F6" s="60" t="str">
        <x:v>/api/forgot-password</x:v>
      </x:c>
      <x:c r="G6" s="60" t="str">
        <x:v>none</x:v>
      </x:c>
      <x:c r="H6" s="60" t="str">
        <x:v>Backend được reset và seed; baseUrl khả dụng.</x:v>
      </x:c>
      <x:c r="I6" s="60" t="str">
        <x:v>{"email":""}</x:v>
      </x:c>
      <x:c r="J6" s="61" t="n">
        <x:v>400</x:v>
      </x:c>
      <x:c r="K6" s="60" t="str">
        <x:v>status-and-schema</x:v>
      </x:c>
      <x:c r="L6" s="60" t="str"/>
      <x:c r="M6" s="60" t="str">
        <x:v>VALID</x:v>
      </x:c>
      <x:c r="N6" s="60" t="str">
        <x:v>Ca kiểm thử bám đúng đặc tả, có dữ liệu và oracle kiểm tra được. Không cần chỉnh sửa.</x:v>
      </x:c>
      <x:c r="O6" s="60" t="str">
        <x:v>HTTP 404; 1 assertion lỗi: expected response to have status code 400 but got 404</x:v>
      </x:c>
      <x:c r="P6" s="60" t="str">
        <x:v>FAIL</x:v>
      </x:c>
      <x:c r="Q6" s="60" t="str">
        <x:v>BUG-FR03-02</x:v>
      </x:c>
    </x:row>
    <x:row r="7">
      <x:c r="A7" s="60" t="str">
        <x:v>FR-03-TC-005</x:v>
      </x:c>
      <x:c r="B7" s="60" t="str">
        <x:v>AI</x:v>
      </x:c>
      <x:c r="C7" s="60" t="str">
        <x:v>partition</x:v>
      </x:c>
      <x:c r="D7" s="60" t="str">
        <x:v>Thiếu trường email</x:v>
      </x:c>
      <x:c r="E7" s="60" t="str">
        <x:v>POST</x:v>
      </x:c>
      <x:c r="F7" s="60" t="str">
        <x:v>/api/forgot-password</x:v>
      </x:c>
      <x:c r="G7" s="60" t="str">
        <x:v>none</x:v>
      </x:c>
      <x:c r="H7" s="60" t="str">
        <x:v>Backend được reset và seed; baseUrl khả dụng.</x:v>
      </x:c>
      <x:c r="I7" s="60" t="str">
        <x:v>{}</x:v>
      </x:c>
      <x:c r="J7" s="61" t="n">
        <x:v>400</x:v>
      </x:c>
      <x:c r="K7" s="60" t="str">
        <x:v>status-and-schema</x:v>
      </x:c>
      <x:c r="L7" s="60" t="str"/>
      <x:c r="M7" s="60" t="str">
        <x:v>VALID</x:v>
      </x:c>
      <x:c r="N7" s="60" t="str">
        <x:v>Ca kiểm thử bám đúng đặc tả, có dữ liệu và oracle kiểm tra được. Không cần chỉnh sửa.</x:v>
      </x:c>
      <x:c r="O7" s="60" t="str">
        <x:v>HTTP 404; 1 assertion lỗi: expected response to have status code 400 but got 404</x:v>
      </x:c>
      <x:c r="P7" s="60" t="str">
        <x:v>FAIL</x:v>
      </x:c>
      <x:c r="Q7" s="60" t="str">
        <x:v>BUG-FR03-02</x:v>
      </x:c>
    </x:row>
    <x:row r="8">
      <x:c r="A8" s="60" t="str">
        <x:v>FR-03-TC-006</x:v>
      </x:c>
      <x:c r="B8" s="60" t="str">
        <x:v>AI</x:v>
      </x:c>
      <x:c r="C8" s="60" t="str">
        <x:v>partition</x:v>
      </x:c>
      <x:c r="D8" s="60" t="str">
        <x:v>Email null</x:v>
      </x:c>
      <x:c r="E8" s="60" t="str">
        <x:v>POST</x:v>
      </x:c>
      <x:c r="F8" s="60" t="str">
        <x:v>/api/forgot-password</x:v>
      </x:c>
      <x:c r="G8" s="60" t="str">
        <x:v>none</x:v>
      </x:c>
      <x:c r="H8" s="60" t="str">
        <x:v>Backend được reset và seed; baseUrl khả dụng.</x:v>
      </x:c>
      <x:c r="I8" s="60" t="str">
        <x:v>{"email":null}</x:v>
      </x:c>
      <x:c r="J8" s="61" t="n">
        <x:v>400</x:v>
      </x:c>
      <x:c r="K8" s="60" t="str">
        <x:v>status-and-schema</x:v>
      </x:c>
      <x:c r="L8" s="60" t="str"/>
      <x:c r="M8" s="60" t="str">
        <x:v>VALID</x:v>
      </x:c>
      <x:c r="N8" s="60" t="str">
        <x:v>Ca kiểm thử bám đúng đặc tả, có dữ liệu và oracle kiểm tra được. Không cần chỉnh sửa.</x:v>
      </x:c>
      <x:c r="O8" s="60" t="str">
        <x:v>HTTP 404; 1 assertion lỗi: expected response to have status code 400 but got 404</x:v>
      </x:c>
      <x:c r="P8" s="60" t="str">
        <x:v>FAIL</x:v>
      </x:c>
      <x:c r="Q8" s="60" t="str">
        <x:v>BUG-FR03-02</x:v>
      </x:c>
    </x:row>
    <x:row r="9">
      <x:c r="A9" s="60" t="str">
        <x:v>FR-03-TC-007</x:v>
      </x:c>
      <x:c r="B9" s="60" t="str">
        <x:v>AI</x:v>
      </x:c>
      <x:c r="C9" s="60" t="str">
        <x:v>partition</x:v>
      </x:c>
      <x:c r="D9" s="60" t="str">
        <x:v>Email sai định dạng thiếu @</x:v>
      </x:c>
      <x:c r="E9" s="60" t="str">
        <x:v>POST</x:v>
      </x:c>
      <x:c r="F9" s="60" t="str">
        <x:v>/api/forgot-password</x:v>
      </x:c>
      <x:c r="G9" s="60" t="str">
        <x:v>none</x:v>
      </x:c>
      <x:c r="H9" s="60" t="str">
        <x:v>Backend được reset và seed; baseUrl khả dụng.</x:v>
      </x:c>
      <x:c r="I9" s="60" t="str">
        <x:v>{"email":"test.eshop.com"}</x:v>
      </x:c>
      <x:c r="J9" s="61" t="n">
        <x:v>400</x:v>
      </x:c>
      <x:c r="K9" s="60" t="str">
        <x:v>status-and-schema</x:v>
      </x:c>
      <x:c r="L9" s="60" t="str"/>
      <x:c r="M9" s="60" t="str">
        <x:v>INCOMPLETE</x:v>
      </x:c>
      <x:c r="N9" s="60" t="str">
        <x:v>Bản AI ban đầu thiếu assertion schema hoặc hậu điều kiện có thể quan sát. Đã bổ sung expected keys và assertion nghiệp vụ tương ứng.</x:v>
      </x:c>
      <x:c r="O9" s="60" t="str">
        <x:v>HTTP 404; 1 assertion lỗi: expected response to have status code 400 but got 404</x:v>
      </x:c>
      <x:c r="P9" s="60" t="str">
        <x:v>FAIL</x:v>
      </x:c>
      <x:c r="Q9" s="60" t="str">
        <x:v>BUG-FR03-02</x:v>
      </x:c>
    </x:row>
    <x:row r="10">
      <x:c r="A10" s="60" t="str">
        <x:v>FR-03-TC-008</x:v>
      </x:c>
      <x:c r="B10" s="60" t="str">
        <x:v>AI</x:v>
      </x:c>
      <x:c r="C10" s="60" t="str">
        <x:v>partition</x:v>
      </x:c>
      <x:c r="D10" s="60" t="str">
        <x:v>Email sai định dạng thiếu domain</x:v>
      </x:c>
      <x:c r="E10" s="60" t="str">
        <x:v>POST</x:v>
      </x:c>
      <x:c r="F10" s="60" t="str">
        <x:v>/api/forgot-password</x:v>
      </x:c>
      <x:c r="G10" s="60" t="str">
        <x:v>none</x:v>
      </x:c>
      <x:c r="H10" s="60" t="str">
        <x:v>Backend được reset và seed; baseUrl khả dụng.</x:v>
      </x:c>
      <x:c r="I10" s="60" t="str">
        <x:v>{"email":"test@"}</x:v>
      </x:c>
      <x:c r="J10" s="61" t="n">
        <x:v>400</x:v>
      </x:c>
      <x:c r="K10" s="60" t="str">
        <x:v>status-and-schema</x:v>
      </x:c>
      <x:c r="L10" s="60" t="str"/>
      <x:c r="M10" s="60" t="str">
        <x:v>VALID</x:v>
      </x:c>
      <x:c r="N10" s="60" t="str">
        <x:v>Ca kiểm thử bám đúng đặc tả, có dữ liệu và oracle kiểm tra được. Không cần chỉnh sửa.</x:v>
      </x:c>
      <x:c r="O10" s="60" t="str">
        <x:v>HTTP 404; 1 assertion lỗi: expected response to have status code 400 but got 404</x:v>
      </x:c>
      <x:c r="P10" s="60" t="str">
        <x:v>FAIL</x:v>
      </x:c>
      <x:c r="Q10" s="60" t="str">
        <x:v>BUG-FR03-02</x:v>
      </x:c>
    </x:row>
    <x:row r="11">
      <x:c r="A11" s="60" t="str">
        <x:v>FR-03-TC-009</x:v>
      </x:c>
      <x:c r="B11" s="60" t="str">
        <x:v>AI</x:v>
      </x:c>
      <x:c r="C11" s="60" t="str">
        <x:v>partition</x:v>
      </x:c>
      <x:c r="D11" s="60" t="str">
        <x:v>Email có khoảng trắng đầu cuối</x:v>
      </x:c>
      <x:c r="E11" s="60" t="str">
        <x:v>POST</x:v>
      </x:c>
      <x:c r="F11" s="60" t="str">
        <x:v>/api/forgot-password</x:v>
      </x:c>
      <x:c r="G11" s="60" t="str">
        <x:v>none</x:v>
      </x:c>
      <x:c r="H11" s="60" t="str">
        <x:v>Backend được reset và seed; baseUrl khả dụng.</x:v>
      </x:c>
      <x:c r="I11" s="60" t="str">
        <x:v>{"email":" test@eshop.com "}</x:v>
      </x:c>
      <x:c r="J11" s="61" t="n">
        <x:v>400</x:v>
      </x:c>
      <x:c r="K11" s="60" t="str">
        <x:v>status-and-schema</x:v>
      </x:c>
      <x:c r="L11" s="60" t="str"/>
      <x:c r="M11" s="60" t="str">
        <x:v>VALID</x:v>
      </x:c>
      <x:c r="N11" s="60" t="str">
        <x:v>Ca kiểm thử bám đúng đặc tả, có dữ liệu và oracle kiểm tra được. Không cần chỉnh sửa.</x:v>
      </x:c>
      <x:c r="O11" s="60" t="str">
        <x:v>HTTP 404; 1 assertion lỗi: expected response to have status code 400 but got 404</x:v>
      </x:c>
      <x:c r="P11" s="60" t="str">
        <x:v>FAIL</x:v>
      </x:c>
      <x:c r="Q11" s="60" t="str">
        <x:v>BUG-FR03-02</x:v>
      </x:c>
    </x:row>
    <x:row r="12">
      <x:c r="A12" s="60" t="str">
        <x:v>FR-03-TC-010</x:v>
      </x:c>
      <x:c r="B12" s="60" t="str">
        <x:v>AI</x:v>
      </x:c>
      <x:c r="C12" s="60" t="str">
        <x:v>security</x:v>
      </x:c>
      <x:c r="D12" s="60" t="str">
        <x:v>Payload email SQL injection không được thực thi</x:v>
      </x:c>
      <x:c r="E12" s="60" t="str">
        <x:v>POST</x:v>
      </x:c>
      <x:c r="F12" s="60" t="str">
        <x:v>/api/forgot-password</x:v>
      </x:c>
      <x:c r="G12" s="60" t="str">
        <x:v>none</x:v>
      </x:c>
      <x:c r="H12" s="60" t="str">
        <x:v>Backend được reset và seed; baseUrl khả dụng.</x:v>
      </x:c>
      <x:c r="I12" s="60" t="str">
        <x:v>{"email":"' OR 1=1 --"}</x:v>
      </x:c>
      <x:c r="J12" s="61" t="n">
        <x:v>404</x:v>
      </x:c>
      <x:c r="K12" s="60" t="str">
        <x:v>status-and-schema</x:v>
      </x:c>
      <x:c r="L12" s="60" t="str">
        <x:v>SEC-05</x:v>
      </x:c>
      <x:c r="M12" s="60" t="str">
        <x:v>VALID</x:v>
      </x:c>
      <x:c r="N12" s="60" t="str">
        <x:v>Ca kiểm thử bám đúng đặc tả, có dữ liệu và oracle kiểm tra được. Không cần chỉnh sửa.</x:v>
      </x:c>
      <x:c r="O12" s="60" t="str">
        <x:v>HTTP 404; tất cả assertion đạt.</x:v>
      </x:c>
      <x:c r="P12" s="60" t="str">
        <x:v>PASS</x:v>
      </x:c>
      <x:c r="Q12" s="60" t="str"/>
    </x:row>
    <x:row r="13">
      <x:c r="A13" s="60" t="str">
        <x:v>FR-03-TC-011</x:v>
      </x:c>
      <x:c r="B13" s="60" t="str">
        <x:v>AI</x:v>
      </x:c>
      <x:c r="C13" s="60" t="str">
        <x:v>security</x:v>
      </x:c>
      <x:c r="D13" s="60" t="str">
        <x:v>Email dạng object bị từ chối</x:v>
      </x:c>
      <x:c r="E13" s="60" t="str">
        <x:v>POST</x:v>
      </x:c>
      <x:c r="F13" s="60" t="str">
        <x:v>/api/forgot-password</x:v>
      </x:c>
      <x:c r="G13" s="60" t="str">
        <x:v>none</x:v>
      </x:c>
      <x:c r="H13" s="60" t="str">
        <x:v>Backend được reset và seed; baseUrl khả dụng.</x:v>
      </x:c>
      <x:c r="I13" s="60" t="str">
        <x:v>{"email":{"$ne":null}}</x:v>
      </x:c>
      <x:c r="J13" s="61" t="n">
        <x:v>400</x:v>
      </x:c>
      <x:c r="K13" s="60" t="str">
        <x:v>status-and-schema</x:v>
      </x:c>
      <x:c r="L13" s="60" t="str">
        <x:v>SEC-05</x:v>
      </x:c>
      <x:c r="M13" s="60" t="str">
        <x:v>INVALID</x:v>
      </x:c>
      <x:c r="N13" s="60" t="str">
        <x:v>Bản AI ban đầu suy đoán oracle theo hành vi phổ biến thay vì truy vết SRS. Đã thay oracle bằng status/ràng buộc trong SRS và bổ sung liên kết FR/SEC.</x:v>
      </x:c>
      <x:c r="O13" s="60" t="str">
        <x:v>HTTP 404; 1 assertion lỗi: expected response to have status code 400 but got 404</x:v>
      </x:c>
      <x:c r="P13" s="60" t="str">
        <x:v>FAIL</x:v>
      </x:c>
      <x:c r="Q13" s="60" t="str">
        <x:v>BUG-FR03-02</x:v>
      </x:c>
    </x:row>
    <x:row r="14">
      <x:c r="A14" s="60" t="str">
        <x:v>FR-03-TC-012</x:v>
      </x:c>
      <x:c r="B14" s="60" t="str">
        <x:v>AI</x:v>
      </x:c>
      <x:c r="C14" s="60" t="str">
        <x:v>schema</x:v>
      </x:c>
      <x:c r="D14" s="60" t="str">
        <x:v>Response lấy OTP không lộ password</x:v>
      </x:c>
      <x:c r="E14" s="60" t="str">
        <x:v>POST</x:v>
      </x:c>
      <x:c r="F14" s="60" t="str">
        <x:v>/api/forgot-password</x:v>
      </x:c>
      <x:c r="G14" s="60" t="str">
        <x:v>none</x:v>
      </x:c>
      <x:c r="H14" s="60" t="str">
        <x:v>Backend được reset và seed; baseUrl khả dụng.</x:v>
      </x:c>
      <x:c r="I14" s="60" t="str">
        <x:v>{"email":"test@eshop.com"}</x:v>
      </x:c>
      <x:c r="J14" s="61" t="n">
        <x:v>200</x:v>
      </x:c>
      <x:c r="K14" s="60" t="str">
        <x:v>no-password-field</x:v>
      </x:c>
      <x:c r="L14" s="60" t="str">
        <x:v>SEC-01, SEC-07</x:v>
      </x:c>
      <x:c r="M14" s="60" t="str">
        <x:v>VALID</x:v>
      </x:c>
      <x:c r="N14" s="60" t="str">
        <x:v>Ca kiểm thử bám đúng đặc tả, có dữ liệu và oracle kiểm tra được. Không cần chỉnh sửa.</x:v>
      </x:c>
      <x:c r="O14" s="60" t="str">
        <x:v>HTTP 200; tất cả assertion đạt.</x:v>
      </x:c>
      <x:c r="P14" s="60" t="str">
        <x:v>PASS</x:v>
      </x:c>
      <x:c r="Q14" s="60" t="str"/>
    </x:row>
    <x:row r="15">
      <x:c r="A15" s="60" t="str">
        <x:v>FR-03-TC-013</x:v>
      </x:c>
      <x:c r="B15" s="60" t="str">
        <x:v>AI</x:v>
      </x:c>
      <x:c r="C15" s="60" t="str">
        <x:v>boundary</x:v>
      </x:c>
      <x:c r="D15" s="60" t="str">
        <x:v>OTP trả về đúng 6 chữ số</x:v>
      </x:c>
      <x:c r="E15" s="60" t="str">
        <x:v>POST</x:v>
      </x:c>
      <x:c r="F15" s="60" t="str">
        <x:v>/api/forgot-password</x:v>
      </x:c>
      <x:c r="G15" s="60" t="str">
        <x:v>none</x:v>
      </x:c>
      <x:c r="H15" s="60" t="str">
        <x:v>Backend được reset và seed; baseUrl khả dụng.</x:v>
      </x:c>
      <x:c r="I15" s="60" t="str">
        <x:v>{"email":"test@eshop.com"}</x:v>
      </x:c>
      <x:c r="J15" s="61" t="n">
        <x:v>200</x:v>
      </x:c>
      <x:c r="K15" s="60" t="str">
        <x:v>otp-six-digits</x:v>
      </x:c>
      <x:c r="L15" s="60" t="str">
        <x:v>SEC-07</x:v>
      </x:c>
      <x:c r="M15" s="60" t="str">
        <x:v>VALID</x:v>
      </x:c>
      <x:c r="N15" s="60" t="str">
        <x:v>Ca kiểm thử bám đúng đặc tả, có dữ liệu và oracle kiểm tra được. Không cần chỉnh sửa.</x:v>
      </x:c>
      <x:c r="O15" s="60" t="str">
        <x:v>HTTP 200; 1 assertion lỗi: expected '3508' to match /^\d{6}$/</x:v>
      </x:c>
      <x:c r="P15" s="60" t="str">
        <x:v>FAIL</x:v>
      </x:c>
      <x:c r="Q15" s="60" t="str">
        <x:v>BUG-FR03-01</x:v>
      </x:c>
    </x:row>
    <x:row r="16">
      <x:c r="A16" s="60" t="str">
        <x:v>FR-03-TC-014</x:v>
      </x:c>
      <x:c r="B16" s="60" t="str">
        <x:v>AI</x:v>
      </x:c>
      <x:c r="C16" s="60" t="str">
        <x:v>domain</x:v>
      </x:c>
      <x:c r="D16" s="60" t="str">
        <x:v>Reset với OTP hợp lệ</x:v>
      </x:c>
      <x:c r="E16" s="60" t="str">
        <x:v>POST</x:v>
      </x:c>
      <x:c r="F16" s="60" t="str">
        <x:v>/api/reset-password</x:v>
      </x:c>
      <x:c r="G16" s="60" t="str">
        <x:v>none</x:v>
      </x:c>
      <x:c r="H16" s="60" t="str">
        <x:v>Backend được reset và seed; baseUrl khả dụng.</x:v>
      </x:c>
      <x:c r="I16" s="60" t="str">
        <x:v>{"email":"test@eshop.com","resetToken":"{{activeOtp}}","newPassword":"ValidPass1!"}</x:v>
      </x:c>
      <x:c r="J16" s="61" t="n">
        <x:v>200</x:v>
      </x:c>
      <x:c r="K16" s="60" t="str">
        <x:v>status-and-schema</x:v>
      </x:c>
      <x:c r="L16" s="60" t="str">
        <x:v>SEC-07</x:v>
      </x:c>
      <x:c r="M16" s="60" t="str">
        <x:v>INCOMPLETE</x:v>
      </x:c>
      <x:c r="N16" s="60" t="str">
        <x:v>Bản AI ban đầu thiếu assertion schema hoặc hậu điều kiện có thể quan sát. Đã bổ sung expected keys và assertion nghiệp vụ tương ứng.</x:v>
      </x:c>
      <x:c r="O16" s="60" t="str">
        <x:v>HTTP 200; tất cả assertion đạt.</x:v>
      </x:c>
      <x:c r="P16" s="60" t="str">
        <x:v>PASS</x:v>
      </x:c>
      <x:c r="Q16" s="60" t="str"/>
    </x:row>
    <x:row r="17">
      <x:c r="A17" s="60" t="str">
        <x:v>FR-03-TC-015</x:v>
      </x:c>
      <x:c r="B17" s="60" t="str">
        <x:v>AI</x:v>
      </x:c>
      <x:c r="C17" s="60" t="str">
        <x:v>domain</x:v>
      </x:c>
      <x:c r="D17" s="60" t="str">
        <x:v>Reset với OTP sai</x:v>
      </x:c>
      <x:c r="E17" s="60" t="str">
        <x:v>POST</x:v>
      </x:c>
      <x:c r="F17" s="60" t="str">
        <x:v>/api/reset-password</x:v>
      </x:c>
      <x:c r="G17" s="60" t="str">
        <x:v>none</x:v>
      </x:c>
      <x:c r="H17" s="60" t="str">
        <x:v>Backend được reset và seed; baseUrl khả dụng.</x:v>
      </x:c>
      <x:c r="I17" s="60" t="str">
        <x:v>{"email":"test@eshop.com","resetToken":"999999","newPassword":"ValidPass1!"}</x:v>
      </x:c>
      <x:c r="J17" s="61" t="n">
        <x:v>400</x:v>
      </x:c>
      <x:c r="K17" s="60" t="str">
        <x:v>status-and-schema</x:v>
      </x:c>
      <x:c r="L17" s="60" t="str"/>
      <x:c r="M17" s="60" t="str">
        <x:v>VALID</x:v>
      </x:c>
      <x:c r="N17" s="60" t="str">
        <x:v>Ca kiểm thử bám đúng đặc tả, có dữ liệu và oracle kiểm tra được. Không cần chỉnh sửa.</x:v>
      </x:c>
      <x:c r="O17" s="60" t="str">
        <x:v>HTTP 400; tất cả assertion đạt.</x:v>
      </x:c>
      <x:c r="P17" s="60" t="str">
        <x:v>PASS</x:v>
      </x:c>
      <x:c r="Q17" s="60" t="str"/>
    </x:row>
    <x:row r="18">
      <x:c r="A18" s="60" t="str">
        <x:v>FR-03-TC-016</x:v>
      </x:c>
      <x:c r="B18" s="60" t="str">
        <x:v>AI</x:v>
      </x:c>
      <x:c r="C18" s="60" t="str">
        <x:v>security</x:v>
      </x:c>
      <x:c r="D18" s="60" t="str">
        <x:v>OTP của email này không dùng cho email khác</x:v>
      </x:c>
      <x:c r="E18" s="60" t="str">
        <x:v>POST</x:v>
      </x:c>
      <x:c r="F18" s="60" t="str">
        <x:v>/api/reset-password</x:v>
      </x:c>
      <x:c r="G18" s="60" t="str">
        <x:v>none</x:v>
      </x:c>
      <x:c r="H18" s="60" t="str">
        <x:v>Backend được reset và seed; baseUrl khả dụng.</x:v>
      </x:c>
      <x:c r="I18" s="60" t="str">
        <x:v>{"email":"admin@eshop.com","resetToken":"{{activeOtp}}","newPassword":"ValidPass1!"}</x:v>
      </x:c>
      <x:c r="J18" s="61" t="n">
        <x:v>400</x:v>
      </x:c>
      <x:c r="K18" s="60" t="str">
        <x:v>status-and-schema</x:v>
      </x:c>
      <x:c r="L18" s="60" t="str">
        <x:v>SEC-07</x:v>
      </x:c>
      <x:c r="M18" s="60" t="str">
        <x:v>VALID</x:v>
      </x:c>
      <x:c r="N18" s="60" t="str">
        <x:v>Ca kiểm thử bám đúng đặc tả, có dữ liệu và oracle kiểm tra được. Không cần chỉnh sửa.</x:v>
      </x:c>
      <x:c r="O18" s="60" t="str">
        <x:v>HTTP 400; tất cả assertion đạt.</x:v>
      </x:c>
      <x:c r="P18" s="60" t="str">
        <x:v>PASS</x:v>
      </x:c>
      <x:c r="Q18" s="60" t="str"/>
    </x:row>
    <x:row r="19">
      <x:c r="A19" s="60" t="str">
        <x:v>FR-03-TC-017</x:v>
      </x:c>
      <x:c r="B19" s="60" t="str">
        <x:v>AI</x:v>
      </x:c>
      <x:c r="C19" s="60" t="str">
        <x:v>partition</x:v>
      </x:c>
      <x:c r="D19" s="60" t="str">
        <x:v>Reset thiếu email</x:v>
      </x:c>
      <x:c r="E19" s="60" t="str">
        <x:v>POST</x:v>
      </x:c>
      <x:c r="F19" s="60" t="str">
        <x:v>/api/reset-password</x:v>
      </x:c>
      <x:c r="G19" s="60" t="str">
        <x:v>none</x:v>
      </x:c>
      <x:c r="H19" s="60" t="str">
        <x:v>Backend được reset và seed; baseUrl khả dụng.</x:v>
      </x:c>
      <x:c r="I19" s="60" t="str">
        <x:v>{"resetToken":"123456","newPassword":"ValidPass1!"}</x:v>
      </x:c>
      <x:c r="J19" s="61" t="n">
        <x:v>400</x:v>
      </x:c>
      <x:c r="K19" s="60" t="str">
        <x:v>status-and-schema</x:v>
      </x:c>
      <x:c r="L19" s="60" t="str"/>
      <x:c r="M19" s="60" t="str">
        <x:v>VALID</x:v>
      </x:c>
      <x:c r="N19" s="60" t="str">
        <x:v>Ca kiểm thử bám đúng đặc tả, có dữ liệu và oracle kiểm tra được. Không cần chỉnh sửa.</x:v>
      </x:c>
      <x:c r="O19" s="60" t="str">
        <x:v>HTTP 400; tất cả assertion đạt.</x:v>
      </x:c>
      <x:c r="P19" s="60" t="str">
        <x:v>PASS</x:v>
      </x:c>
      <x:c r="Q19" s="60" t="str"/>
    </x:row>
    <x:row r="20">
      <x:c r="A20" s="60" t="str">
        <x:v>FR-03-TC-018</x:v>
      </x:c>
      <x:c r="B20" s="60" t="str">
        <x:v>AI</x:v>
      </x:c>
      <x:c r="C20" s="60" t="str">
        <x:v>partition</x:v>
      </x:c>
      <x:c r="D20" s="60" t="str">
        <x:v>Reset thiếu OTP</x:v>
      </x:c>
      <x:c r="E20" s="60" t="str">
        <x:v>POST</x:v>
      </x:c>
      <x:c r="F20" s="60" t="str">
        <x:v>/api/reset-password</x:v>
      </x:c>
      <x:c r="G20" s="60" t="str">
        <x:v>none</x:v>
      </x:c>
      <x:c r="H20" s="60" t="str">
        <x:v>Backend được reset và seed; baseUrl khả dụng.</x:v>
      </x:c>
      <x:c r="I20" s="60" t="str">
        <x:v>{"email":"test@eshop.com","newPassword":"ValidPass1!"}</x:v>
      </x:c>
      <x:c r="J20" s="61" t="n">
        <x:v>400</x:v>
      </x:c>
      <x:c r="K20" s="60" t="str">
        <x:v>status-and-schema</x:v>
      </x:c>
      <x:c r="L20" s="60" t="str"/>
      <x:c r="M20" s="60" t="str">
        <x:v>VALID</x:v>
      </x:c>
      <x:c r="N20" s="60" t="str">
        <x:v>Ca kiểm thử bám đúng đặc tả, có dữ liệu và oracle kiểm tra được. Không cần chỉnh sửa.</x:v>
      </x:c>
      <x:c r="O20" s="60" t="str">
        <x:v>HTTP 400; tất cả assertion đạt.</x:v>
      </x:c>
      <x:c r="P20" s="60" t="str">
        <x:v>PASS</x:v>
      </x:c>
      <x:c r="Q20" s="60" t="str"/>
    </x:row>
    <x:row r="21">
      <x:c r="A21" s="60" t="str">
        <x:v>FR-03-TC-019</x:v>
      </x:c>
      <x:c r="B21" s="60" t="str">
        <x:v>AI</x:v>
      </x:c>
      <x:c r="C21" s="60" t="str">
        <x:v>partition</x:v>
      </x:c>
      <x:c r="D21" s="60" t="str">
        <x:v>Reset thiếu mật khẩu mới</x:v>
      </x:c>
      <x:c r="E21" s="60" t="str">
        <x:v>POST</x:v>
      </x:c>
      <x:c r="F21" s="60" t="str">
        <x:v>/api/reset-password</x:v>
      </x:c>
      <x:c r="G21" s="60" t="str">
        <x:v>none</x:v>
      </x:c>
      <x:c r="H21" s="60" t="str">
        <x:v>Backend được reset và seed; baseUrl khả dụng.</x:v>
      </x:c>
      <x:c r="I21" s="60" t="str">
        <x:v>{"email":"test@eshop.com","resetToken":"123456"}</x:v>
      </x:c>
      <x:c r="J21" s="61" t="n">
        <x:v>400</x:v>
      </x:c>
      <x:c r="K21" s="60" t="str">
        <x:v>status-and-schema</x:v>
      </x:c>
      <x:c r="L21" s="60" t="str"/>
      <x:c r="M21" s="60" t="str">
        <x:v>VALID</x:v>
      </x:c>
      <x:c r="N21" s="60" t="str">
        <x:v>Ca kiểm thử bám đúng đặc tả, có dữ liệu và oracle kiểm tra được. Không cần chỉnh sửa.</x:v>
      </x:c>
      <x:c r="O21" s="60" t="str">
        <x:v>HTTP 400; tất cả assertion đạt.</x:v>
      </x:c>
      <x:c r="P21" s="60" t="str">
        <x:v>PASS</x:v>
      </x:c>
      <x:c r="Q21" s="60" t="str"/>
    </x:row>
    <x:row r="22">
      <x:c r="A22" s="60" t="str">
        <x:v>FR-03-TC-020</x:v>
      </x:c>
      <x:c r="B22" s="60" t="str">
        <x:v>AI</x:v>
      </x:c>
      <x:c r="C22" s="60" t="str">
        <x:v>partition</x:v>
      </x:c>
      <x:c r="D22" s="60" t="str">
        <x:v>OTP rỗng</x:v>
      </x:c>
      <x:c r="E22" s="60" t="str">
        <x:v>POST</x:v>
      </x:c>
      <x:c r="F22" s="60" t="str">
        <x:v>/api/reset-password</x:v>
      </x:c>
      <x:c r="G22" s="60" t="str">
        <x:v>none</x:v>
      </x:c>
      <x:c r="H22" s="60" t="str">
        <x:v>Backend được reset và seed; baseUrl khả dụng.</x:v>
      </x:c>
      <x:c r="I22" s="60" t="str">
        <x:v>{"email":"test@eshop.com","resetToken":"","newPassword":"ValidPass1!"}</x:v>
      </x:c>
      <x:c r="J22" s="61" t="n">
        <x:v>400</x:v>
      </x:c>
      <x:c r="K22" s="60" t="str">
        <x:v>status-and-schema</x:v>
      </x:c>
      <x:c r="L22" s="60" t="str"/>
      <x:c r="M22" s="60" t="str">
        <x:v>VALID</x:v>
      </x:c>
      <x:c r="N22" s="60" t="str">
        <x:v>Ca kiểm thử bám đúng đặc tả, có dữ liệu và oracle kiểm tra được. Không cần chỉnh sửa.</x:v>
      </x:c>
      <x:c r="O22" s="60" t="str">
        <x:v>HTTP 400; tất cả assertion đạt.</x:v>
      </x:c>
      <x:c r="P22" s="60" t="str">
        <x:v>PASS</x:v>
      </x:c>
      <x:c r="Q22" s="60" t="str"/>
    </x:row>
    <x:row r="23">
      <x:c r="A23" s="60" t="str">
        <x:v>FR-03-TC-021</x:v>
      </x:c>
      <x:c r="B23" s="60" t="str">
        <x:v>AI</x:v>
      </x:c>
      <x:c r="C23" s="60" t="str">
        <x:v>partition</x:v>
      </x:c>
      <x:c r="D23" s="60" t="str">
        <x:v>OTP null</x:v>
      </x:c>
      <x:c r="E23" s="60" t="str">
        <x:v>POST</x:v>
      </x:c>
      <x:c r="F23" s="60" t="str">
        <x:v>/api/reset-password</x:v>
      </x:c>
      <x:c r="G23" s="60" t="str">
        <x:v>none</x:v>
      </x:c>
      <x:c r="H23" s="60" t="str">
        <x:v>Backend được reset và seed; baseUrl khả dụng.</x:v>
      </x:c>
      <x:c r="I23" s="60" t="str">
        <x:v>{"email":"test@eshop.com","resetToken":null,"newPassword":"ValidPass1!"}</x:v>
      </x:c>
      <x:c r="J23" s="61" t="n">
        <x:v>400</x:v>
      </x:c>
      <x:c r="K23" s="60" t="str">
        <x:v>status-and-schema</x:v>
      </x:c>
      <x:c r="L23" s="60" t="str"/>
      <x:c r="M23" s="60" t="str">
        <x:v>INCOMPLETE</x:v>
      </x:c>
      <x:c r="N23" s="60" t="str">
        <x:v>Bản AI ban đầu thiếu assertion schema hoặc hậu điều kiện có thể quan sát. Đã bổ sung expected keys và assertion nghiệp vụ tương ứng.</x:v>
      </x:c>
      <x:c r="O23" s="60" t="str">
        <x:v>HTTP 400; tất cả assertion đạt.</x:v>
      </x:c>
      <x:c r="P23" s="60" t="str">
        <x:v>PASS</x:v>
      </x:c>
      <x:c r="Q23" s="60" t="str"/>
    </x:row>
    <x:row r="24">
      <x:c r="A24" s="60" t="str">
        <x:v>FR-03-TC-022</x:v>
      </x:c>
      <x:c r="B24" s="60" t="str">
        <x:v>AI</x:v>
      </x:c>
      <x:c r="C24" s="60" t="str">
        <x:v>boundary</x:v>
      </x:c>
      <x:c r="D24" s="60" t="str">
        <x:v>OTP 5 chữ số bị từ chối</x:v>
      </x:c>
      <x:c r="E24" s="60" t="str">
        <x:v>POST</x:v>
      </x:c>
      <x:c r="F24" s="60" t="str">
        <x:v>/api/reset-password</x:v>
      </x:c>
      <x:c r="G24" s="60" t="str">
        <x:v>none</x:v>
      </x:c>
      <x:c r="H24" s="60" t="str">
        <x:v>Backend được reset và seed; baseUrl khả dụng.</x:v>
      </x:c>
      <x:c r="I24" s="60" t="str">
        <x:v>{"email":"test@eshop.com","resetToken":"12345","newPassword":"ValidPass1!"}</x:v>
      </x:c>
      <x:c r="J24" s="61" t="n">
        <x:v>400</x:v>
      </x:c>
      <x:c r="K24" s="60" t="str">
        <x:v>status-and-schema</x:v>
      </x:c>
      <x:c r="L24" s="60" t="str">
        <x:v>SEC-07</x:v>
      </x:c>
      <x:c r="M24" s="60" t="str">
        <x:v>INVALID</x:v>
      </x:c>
      <x:c r="N24" s="60" t="str">
        <x:v>Bản AI ban đầu suy đoán oracle theo hành vi phổ biến thay vì truy vết SRS. Đã thay oracle bằng status/ràng buộc trong SRS và bổ sung liên kết FR/SEC.</x:v>
      </x:c>
      <x:c r="O24" s="60" t="str">
        <x:v>HTTP 400; tất cả assertion đạt.</x:v>
      </x:c>
      <x:c r="P24" s="60" t="str">
        <x:v>PASS</x:v>
      </x:c>
      <x:c r="Q24" s="60" t="str"/>
    </x:row>
    <x:row r="25">
      <x:c r="A25" s="60" t="str">
        <x:v>FR-03-TC-023</x:v>
      </x:c>
      <x:c r="B25" s="60" t="str">
        <x:v>AI</x:v>
      </x:c>
      <x:c r="C25" s="60" t="str">
        <x:v>boundary</x:v>
      </x:c>
      <x:c r="D25" s="60" t="str">
        <x:v>OTP 7 chữ số bị từ chối</x:v>
      </x:c>
      <x:c r="E25" s="60" t="str">
        <x:v>POST</x:v>
      </x:c>
      <x:c r="F25" s="60" t="str">
        <x:v>/api/reset-password</x:v>
      </x:c>
      <x:c r="G25" s="60" t="str">
        <x:v>none</x:v>
      </x:c>
      <x:c r="H25" s="60" t="str">
        <x:v>Backend được reset và seed; baseUrl khả dụng.</x:v>
      </x:c>
      <x:c r="I25" s="60" t="str">
        <x:v>{"email":"test@eshop.com","resetToken":"1234567","newPassword":"ValidPass1!"}</x:v>
      </x:c>
      <x:c r="J25" s="61" t="n">
        <x:v>400</x:v>
      </x:c>
      <x:c r="K25" s="60" t="str">
        <x:v>status-and-schema</x:v>
      </x:c>
      <x:c r="L25" s="60" t="str">
        <x:v>SEC-07</x:v>
      </x:c>
      <x:c r="M25" s="60" t="str">
        <x:v>VALID</x:v>
      </x:c>
      <x:c r="N25" s="60" t="str">
        <x:v>Ca kiểm thử bám đúng đặc tả, có dữ liệu và oracle kiểm tra được. Không cần chỉnh sửa.</x:v>
      </x:c>
      <x:c r="O25" s="60" t="str">
        <x:v>HTTP 400; tất cả assertion đạt.</x:v>
      </x:c>
      <x:c r="P25" s="60" t="str">
        <x:v>PASS</x:v>
      </x:c>
      <x:c r="Q25" s="60" t="str"/>
    </x:row>
    <x:row r="26">
      <x:c r="A26" s="60" t="str">
        <x:v>FR-03-TC-024</x:v>
      </x:c>
      <x:c r="B26" s="60" t="str">
        <x:v>AI</x:v>
      </x:c>
      <x:c r="C26" s="60" t="str">
        <x:v>partition</x:v>
      </x:c>
      <x:c r="D26" s="60" t="str">
        <x:v>OTP chứa chữ bị từ chối</x:v>
      </x:c>
      <x:c r="E26" s="60" t="str">
        <x:v>POST</x:v>
      </x:c>
      <x:c r="F26" s="60" t="str">
        <x:v>/api/reset-password</x:v>
      </x:c>
      <x:c r="G26" s="60" t="str">
        <x:v>none</x:v>
      </x:c>
      <x:c r="H26" s="60" t="str">
        <x:v>Backend được reset và seed; baseUrl khả dụng.</x:v>
      </x:c>
      <x:c r="I26" s="60" t="str">
        <x:v>{"email":"test@eshop.com","resetToken":"12AB56","newPassword":"ValidPass1!"}</x:v>
      </x:c>
      <x:c r="J26" s="61" t="n">
        <x:v>400</x:v>
      </x:c>
      <x:c r="K26" s="60" t="str">
        <x:v>status-and-schema</x:v>
      </x:c>
      <x:c r="L26" s="60" t="str"/>
      <x:c r="M26" s="60" t="str">
        <x:v>VALID</x:v>
      </x:c>
      <x:c r="N26" s="60" t="str">
        <x:v>Ca kiểm thử bám đúng đặc tả, có dữ liệu và oracle kiểm tra được. Không cần chỉnh sửa.</x:v>
      </x:c>
      <x:c r="O26" s="60" t="str">
        <x:v>HTTP 400; tất cả assertion đạt.</x:v>
      </x:c>
      <x:c r="P26" s="60" t="str">
        <x:v>PASS</x:v>
      </x:c>
      <x:c r="Q26" s="60" t="str"/>
    </x:row>
    <x:row r="27">
      <x:c r="A27" s="60" t="str">
        <x:v>FR-03-TC-025</x:v>
      </x:c>
      <x:c r="B27" s="60" t="str">
        <x:v>AI</x:v>
      </x:c>
      <x:c r="C27" s="60" t="str">
        <x:v>partition</x:v>
      </x:c>
      <x:c r="D27" s="60" t="str">
        <x:v>OTP chứa khoảng trắng bị từ chối</x:v>
      </x:c>
      <x:c r="E27" s="60" t="str">
        <x:v>POST</x:v>
      </x:c>
      <x:c r="F27" s="60" t="str">
        <x:v>/api/reset-password</x:v>
      </x:c>
      <x:c r="G27" s="60" t="str">
        <x:v>none</x:v>
      </x:c>
      <x:c r="H27" s="60" t="str">
        <x:v>Backend được reset và seed; baseUrl khả dụng.</x:v>
      </x:c>
      <x:c r="I27" s="60" t="str">
        <x:v>{"email":"test@eshop.com","resetToken":" 123456 ","newPassword":"ValidPass1!"}</x:v>
      </x:c>
      <x:c r="J27" s="61" t="n">
        <x:v>400</x:v>
      </x:c>
      <x:c r="K27" s="60" t="str">
        <x:v>status-and-schema</x:v>
      </x:c>
      <x:c r="L27" s="60" t="str"/>
      <x:c r="M27" s="60" t="str">
        <x:v>VALID</x:v>
      </x:c>
      <x:c r="N27" s="60" t="str">
        <x:v>Ca kiểm thử bám đúng đặc tả, có dữ liệu và oracle kiểm tra được. Không cần chỉnh sửa.</x:v>
      </x:c>
      <x:c r="O27" s="60" t="str">
        <x:v>HTTP 400; tất cả assertion đạt.</x:v>
      </x:c>
      <x:c r="P27" s="60" t="str">
        <x:v>PASS</x:v>
      </x:c>
      <x:c r="Q27" s="60" t="str"/>
    </x:row>
    <x:row r="28">
      <x:c r="A28" s="60" t="str">
        <x:v>FR-03-TC-026</x:v>
      </x:c>
      <x:c r="B28" s="60" t="str">
        <x:v>AI</x:v>
      </x:c>
      <x:c r="C28" s="60" t="str">
        <x:v>boundary</x:v>
      </x:c>
      <x:c r="D28" s="60" t="str">
        <x:v>Mật khẩu đúng 8 ký tự hợp lệ</x:v>
      </x:c>
      <x:c r="E28" s="60" t="str">
        <x:v>POST</x:v>
      </x:c>
      <x:c r="F28" s="60" t="str">
        <x:v>/api/reset-password</x:v>
      </x:c>
      <x:c r="G28" s="60" t="str">
        <x:v>none</x:v>
      </x:c>
      <x:c r="H28" s="60" t="str">
        <x:v>Backend được reset và seed; baseUrl khả dụng.</x:v>
      </x:c>
      <x:c r="I28" s="60" t="str">
        <x:v>{"email":"test@eshop.com","resetToken":"{{activeOtp}}","newPassword":"Abcd12!x"}</x:v>
      </x:c>
      <x:c r="J28" s="61" t="n">
        <x:v>200</x:v>
      </x:c>
      <x:c r="K28" s="60" t="str">
        <x:v>status-and-schema</x:v>
      </x:c>
      <x:c r="L28" s="60" t="str">
        <x:v>SEC-07</x:v>
      </x:c>
      <x:c r="M28" s="60" t="str">
        <x:v>VALID</x:v>
      </x:c>
      <x:c r="N28" s="60" t="str">
        <x:v>Ca kiểm thử bám đúng đặc tả, có dữ liệu và oracle kiểm tra được. Không cần chỉnh sửa.</x:v>
      </x:c>
      <x:c r="O28" s="60" t="str">
        <x:v>HTTP 200; tất cả assertion đạt.</x:v>
      </x:c>
      <x:c r="P28" s="60" t="str">
        <x:v>PASS</x:v>
      </x:c>
      <x:c r="Q28" s="60" t="str"/>
    </x:row>
    <x:row r="29">
      <x:c r="A29" s="60" t="str">
        <x:v>FR-03-TC-027</x:v>
      </x:c>
      <x:c r="B29" s="60" t="str">
        <x:v>AI</x:v>
      </x:c>
      <x:c r="C29" s="60" t="str">
        <x:v>boundary</x:v>
      </x:c>
      <x:c r="D29" s="60" t="str">
        <x:v>Mật khẩu 7 ký tự bị từ chối</x:v>
      </x:c>
      <x:c r="E29" s="60" t="str">
        <x:v>POST</x:v>
      </x:c>
      <x:c r="F29" s="60" t="str">
        <x:v>/api/reset-password</x:v>
      </x:c>
      <x:c r="G29" s="60" t="str">
        <x:v>none</x:v>
      </x:c>
      <x:c r="H29" s="60" t="str">
        <x:v>Backend được reset và seed; baseUrl khả dụng.</x:v>
      </x:c>
      <x:c r="I29" s="60" t="str">
        <x:v>{"email":"test@eshop.com","resetToken":"{{activeOtp}}","newPassword":"Ab1!xyz"}</x:v>
      </x:c>
      <x:c r="J29" s="61" t="n">
        <x:v>400</x:v>
      </x:c>
      <x:c r="K29" s="60" t="str">
        <x:v>status-and-schema</x:v>
      </x:c>
      <x:c r="L29" s="60" t="str">
        <x:v>SEC-07</x:v>
      </x:c>
      <x:c r="M29" s="60" t="str">
        <x:v>VALID</x:v>
      </x:c>
      <x:c r="N29" s="60" t="str">
        <x:v>Ca kiểm thử bám đúng đặc tả, có dữ liệu và oracle kiểm tra được. Không cần chỉnh sửa.</x:v>
      </x:c>
      <x:c r="O29" s="60" t="str">
        <x:v>HTTP 200; 2 assertion lỗi: expected response to have status code 400 but got 200 | expected { Object (message) } to have property 'error'</x:v>
      </x:c>
      <x:c r="P29" s="60" t="str">
        <x:v>FAIL</x:v>
      </x:c>
      <x:c r="Q29" s="60" t="str">
        <x:v>BUG-FR03-03</x:v>
      </x:c>
    </x:row>
    <x:row r="30">
      <x:c r="A30" s="60" t="str">
        <x:v>FR-03-TC-028</x:v>
      </x:c>
      <x:c r="B30" s="60" t="str">
        <x:v>AI</x:v>
      </x:c>
      <x:c r="C30" s="60" t="str">
        <x:v>partition</x:v>
      </x:c>
      <x:c r="D30" s="60" t="str">
        <x:v>Mật khẩu thiếu chữ hoa</x:v>
      </x:c>
      <x:c r="E30" s="60" t="str">
        <x:v>POST</x:v>
      </x:c>
      <x:c r="F30" s="60" t="str">
        <x:v>/api/reset-password</x:v>
      </x:c>
      <x:c r="G30" s="60" t="str">
        <x:v>none</x:v>
      </x:c>
      <x:c r="H30" s="60" t="str">
        <x:v>Backend được reset và seed; baseUrl khả dụng.</x:v>
      </x:c>
      <x:c r="I30" s="60" t="str">
        <x:v>{"email":"test@eshop.com","resetToken":"{{activeOtp}}","newPassword":"abcdef1!"}</x:v>
      </x:c>
      <x:c r="J30" s="61" t="n">
        <x:v>400</x:v>
      </x:c>
      <x:c r="K30" s="60" t="str">
        <x:v>status-and-schema</x:v>
      </x:c>
      <x:c r="L30" s="60" t="str">
        <x:v>SEC-07</x:v>
      </x:c>
      <x:c r="M30" s="60" t="str">
        <x:v>INCOMPLETE</x:v>
      </x:c>
      <x:c r="N30" s="60" t="str">
        <x:v>Bản AI ban đầu thiếu assertion schema hoặc hậu điều kiện có thể quan sát. Đã bổ sung expected keys và assertion nghiệp vụ tương ứng.</x:v>
      </x:c>
      <x:c r="O30" s="60" t="str">
        <x:v>HTTP 200; 2 assertion lỗi: expected response to have status code 400 but got 200 | expected { Object (message) } to have property 'error'</x:v>
      </x:c>
      <x:c r="P30" s="60" t="str">
        <x:v>FAIL</x:v>
      </x:c>
      <x:c r="Q30" s="60" t="str">
        <x:v>BUG-FR03-03</x:v>
      </x:c>
    </x:row>
    <x:row r="31">
      <x:c r="A31" s="60" t="str">
        <x:v>FR-03-TC-029</x:v>
      </x:c>
      <x:c r="B31" s="60" t="str">
        <x:v>AI</x:v>
      </x:c>
      <x:c r="C31" s="60" t="str">
        <x:v>partition</x:v>
      </x:c>
      <x:c r="D31" s="60" t="str">
        <x:v>Mật khẩu thiếu chữ thường</x:v>
      </x:c>
      <x:c r="E31" s="60" t="str">
        <x:v>POST</x:v>
      </x:c>
      <x:c r="F31" s="60" t="str">
        <x:v>/api/reset-password</x:v>
      </x:c>
      <x:c r="G31" s="60" t="str">
        <x:v>none</x:v>
      </x:c>
      <x:c r="H31" s="60" t="str">
        <x:v>Backend được reset và seed; baseUrl khả dụng.</x:v>
      </x:c>
      <x:c r="I31" s="60" t="str">
        <x:v>{"email":"test@eshop.com","resetToken":"{{activeOtp}}","newPassword":"ABCDEF1!"}</x:v>
      </x:c>
      <x:c r="J31" s="61" t="n">
        <x:v>400</x:v>
      </x:c>
      <x:c r="K31" s="60" t="str">
        <x:v>status-and-schema</x:v>
      </x:c>
      <x:c r="L31" s="60" t="str">
        <x:v>SEC-07</x:v>
      </x:c>
      <x:c r="M31" s="60" t="str">
        <x:v>VALID</x:v>
      </x:c>
      <x:c r="N31" s="60" t="str">
        <x:v>Ca kiểm thử bám đúng đặc tả, có dữ liệu và oracle kiểm tra được. Không cần chỉnh sửa.</x:v>
      </x:c>
      <x:c r="O31" s="60" t="str">
        <x:v>HTTP 200; 2 assertion lỗi: expected response to have status code 400 but got 200 | expected { Object (message) } to have property 'error'</x:v>
      </x:c>
      <x:c r="P31" s="60" t="str">
        <x:v>FAIL</x:v>
      </x:c>
      <x:c r="Q31" s="60" t="str">
        <x:v>BUG-FR03-03</x:v>
      </x:c>
    </x:row>
    <x:row r="32">
      <x:c r="A32" s="60" t="str">
        <x:v>FR-03-TC-030</x:v>
      </x:c>
      <x:c r="B32" s="60" t="str">
        <x:v>AI</x:v>
      </x:c>
      <x:c r="C32" s="60" t="str">
        <x:v>partition</x:v>
      </x:c>
      <x:c r="D32" s="60" t="str">
        <x:v>Mật khẩu thiếu chữ số</x:v>
      </x:c>
      <x:c r="E32" s="60" t="str">
        <x:v>POST</x:v>
      </x:c>
      <x:c r="F32" s="60" t="str">
        <x:v>/api/reset-password</x:v>
      </x:c>
      <x:c r="G32" s="60" t="str">
        <x:v>none</x:v>
      </x:c>
      <x:c r="H32" s="60" t="str">
        <x:v>Backend được reset và seed; baseUrl khả dụng.</x:v>
      </x:c>
      <x:c r="I32" s="60" t="str">
        <x:v>{"email":"test@eshop.com","resetToken":"{{activeOtp}}","newPassword":"Abcdefg!"}</x:v>
      </x:c>
      <x:c r="J32" s="61" t="n">
        <x:v>400</x:v>
      </x:c>
      <x:c r="K32" s="60" t="str">
        <x:v>status-and-schema</x:v>
      </x:c>
      <x:c r="L32" s="60" t="str">
        <x:v>SEC-07</x:v>
      </x:c>
      <x:c r="M32" s="60" t="str">
        <x:v>VALID</x:v>
      </x:c>
      <x:c r="N32" s="60" t="str">
        <x:v>Ca kiểm thử bám đúng đặc tả, có dữ liệu và oracle kiểm tra được. Không cần chỉnh sửa.</x:v>
      </x:c>
      <x:c r="O32" s="60" t="str">
        <x:v>HTTP 200; 2 assertion lỗi: expected response to have status code 400 but got 200 | expected { Object (message) } to have property 'error'</x:v>
      </x:c>
      <x:c r="P32" s="60" t="str">
        <x:v>FAIL</x:v>
      </x:c>
      <x:c r="Q32" s="60" t="str">
        <x:v>BUG-FR03-03</x:v>
      </x:c>
    </x:row>
    <x:row r="33">
      <x:c r="A33" s="60" t="str">
        <x:v>FR-03-TC-031</x:v>
      </x:c>
      <x:c r="B33" s="60" t="str">
        <x:v>AI</x:v>
      </x:c>
      <x:c r="C33" s="60" t="str">
        <x:v>partition</x:v>
      </x:c>
      <x:c r="D33" s="60" t="str">
        <x:v>Mật khẩu thiếu ký tự đặc biệt</x:v>
      </x:c>
      <x:c r="E33" s="60" t="str">
        <x:v>POST</x:v>
      </x:c>
      <x:c r="F33" s="60" t="str">
        <x:v>/api/reset-password</x:v>
      </x:c>
      <x:c r="G33" s="60" t="str">
        <x:v>none</x:v>
      </x:c>
      <x:c r="H33" s="60" t="str">
        <x:v>Backend được reset và seed; baseUrl khả dụng.</x:v>
      </x:c>
      <x:c r="I33" s="60" t="str">
        <x:v>{"email":"test@eshop.com","resetToken":"{{activeOtp}}","newPassword":"Abcdefg1"}</x:v>
      </x:c>
      <x:c r="J33" s="61" t="n">
        <x:v>400</x:v>
      </x:c>
      <x:c r="K33" s="60" t="str">
        <x:v>status-and-schema</x:v>
      </x:c>
      <x:c r="L33" s="60" t="str">
        <x:v>SEC-07</x:v>
      </x:c>
      <x:c r="M33" s="60" t="str">
        <x:v>VALID</x:v>
      </x:c>
      <x:c r="N33" s="60" t="str">
        <x:v>Ca kiểm thử bám đúng đặc tả, có dữ liệu và oracle kiểm tra được. Không cần chỉnh sửa.</x:v>
      </x:c>
      <x:c r="O33" s="60" t="str">
        <x:v>HTTP 200; 2 assertion lỗi: expected response to have status code 400 but got 200 | expected { Object (message) } to have property 'error'</x:v>
      </x:c>
      <x:c r="P33" s="60" t="str">
        <x:v>FAIL</x:v>
      </x:c>
      <x:c r="Q33" s="60" t="str">
        <x:v>BUG-FR03-03</x:v>
      </x:c>
    </x:row>
    <x:row r="34">
      <x:c r="A34" s="60" t="str">
        <x:v>FR-03-TC-032</x:v>
      </x:c>
      <x:c r="B34" s="60" t="str">
        <x:v>AI</x:v>
      </x:c>
      <x:c r="C34" s="60" t="str">
        <x:v>partition</x:v>
      </x:c>
      <x:c r="D34" s="60" t="str">
        <x:v>Mật khẩu null bị từ chối</x:v>
      </x:c>
      <x:c r="E34" s="60" t="str">
        <x:v>POST</x:v>
      </x:c>
      <x:c r="F34" s="60" t="str">
        <x:v>/api/reset-password</x:v>
      </x:c>
      <x:c r="G34" s="60" t="str">
        <x:v>none</x:v>
      </x:c>
      <x:c r="H34" s="60" t="str">
        <x:v>Backend được reset và seed; baseUrl khả dụng.</x:v>
      </x:c>
      <x:c r="I34" s="60" t="str">
        <x:v>{"email":"test@eshop.com","resetToken":"{{activeOtp}}","newPassword":null}</x:v>
      </x:c>
      <x:c r="J34" s="61" t="n">
        <x:v>400</x:v>
      </x:c>
      <x:c r="K34" s="60" t="str">
        <x:v>status-and-schema</x:v>
      </x:c>
      <x:c r="L34" s="60" t="str">
        <x:v>SEC-07</x:v>
      </x:c>
      <x:c r="M34" s="60" t="str">
        <x:v>VALID</x:v>
      </x:c>
      <x:c r="N34" s="60" t="str">
        <x:v>Ca kiểm thử bám đúng đặc tả, có dữ liệu và oracle kiểm tra được. Không cần chỉnh sửa.</x:v>
      </x:c>
      <x:c r="O34" s="60" t="str">
        <x:v>HTTP 200; 2 assertion lỗi: expected response to have status code 400 but got 200 | expected { Object (message) } to have property 'error'</x:v>
      </x:c>
      <x:c r="P34" s="60" t="str">
        <x:v>FAIL</x:v>
      </x:c>
      <x:c r="Q34" s="60" t="str">
        <x:v>BUG-FR03-03</x:v>
      </x:c>
    </x:row>
    <x:row r="35">
      <x:c r="A35" s="60" t="str">
        <x:v>FR-03-TC-033</x:v>
      </x:c>
      <x:c r="B35" s="60" t="str">
        <x:v>AI</x:v>
      </x:c>
      <x:c r="C35" s="60" t="str">
        <x:v>state</x:v>
      </x:c>
      <x:c r="D35" s="60" t="str">
        <x:v>OTP đã dùng không thể dùng lại</x:v>
      </x:c>
      <x:c r="E35" s="60" t="str">
        <x:v>POST</x:v>
      </x:c>
      <x:c r="F35" s="60" t="str">
        <x:v>/api/reset-password</x:v>
      </x:c>
      <x:c r="G35" s="60" t="str">
        <x:v>none</x:v>
      </x:c>
      <x:c r="H35" s="60" t="str">
        <x:v>Backend được reset và seed; baseUrl khả dụng.</x:v>
      </x:c>
      <x:c r="I35" s="60" t="str">
        <x:v>{"email":"test@eshop.com","resetToken":"{{activeOtp}}","newPassword":"Another1!"}</x:v>
      </x:c>
      <x:c r="J35" s="61" t="n">
        <x:v>400</x:v>
      </x:c>
      <x:c r="K35" s="60" t="str">
        <x:v>status-and-schema</x:v>
      </x:c>
      <x:c r="L35" s="60" t="str">
        <x:v>SEC-07</x:v>
      </x:c>
      <x:c r="M35" s="60" t="str">
        <x:v>INVALID</x:v>
      </x:c>
      <x:c r="N35" s="60" t="str">
        <x:v>Bản AI ban đầu suy đoán oracle theo hành vi phổ biến thay vì truy vết SRS. Đã thay oracle bằng status/ràng buộc trong SRS và bổ sung liên kết FR/SEC.</x:v>
      </x:c>
      <x:c r="O35" s="60" t="str">
        <x:v>HTTP 400; tất cả assertion đạt.</x:v>
      </x:c>
      <x:c r="P35" s="60" t="str">
        <x:v>PASS</x:v>
      </x:c>
      <x:c r="Q35" s="60" t="str"/>
    </x:row>
    <x:row r="36">
      <x:c r="A36" s="60" t="str">
        <x:v>FR-03-TC-034</x:v>
      </x:c>
      <x:c r="B36" s="60" t="str">
        <x:v>AI</x:v>
      </x:c>
      <x:c r="C36" s="60" t="str">
        <x:v>schema</x:v>
      </x:c>
      <x:c r="D36" s="60" t="str">
        <x:v>Reset thành công chỉ trả message</x:v>
      </x:c>
      <x:c r="E36" s="60" t="str">
        <x:v>POST</x:v>
      </x:c>
      <x:c r="F36" s="60" t="str">
        <x:v>/api/reset-password</x:v>
      </x:c>
      <x:c r="G36" s="60" t="str">
        <x:v>none</x:v>
      </x:c>
      <x:c r="H36" s="60" t="str">
        <x:v>Backend được reset và seed; baseUrl khả dụng.</x:v>
      </x:c>
      <x:c r="I36" s="60" t="str">
        <x:v>{"email":"test@eshop.com","resetToken":"{{activeOtp}}","newPassword":"SchemaOk1!"}</x:v>
      </x:c>
      <x:c r="J36" s="61" t="n">
        <x:v>200</x:v>
      </x:c>
      <x:c r="K36" s="60" t="str">
        <x:v>no-password-field</x:v>
      </x:c>
      <x:c r="L36" s="60" t="str">
        <x:v>SEC-01, SEC-07</x:v>
      </x:c>
      <x:c r="M36" s="60" t="str">
        <x:v>VALID</x:v>
      </x:c>
      <x:c r="N36" s="60" t="str">
        <x:v>Ca kiểm thử bám đúng đặc tả, có dữ liệu và oracle kiểm tra được. Không cần chỉnh sửa.</x:v>
      </x:c>
      <x:c r="O36" s="60" t="str">
        <x:v>HTTP 200; tất cả assertion đạt.</x:v>
      </x:c>
      <x:c r="P36" s="60" t="str">
        <x:v>PASS</x:v>
      </x:c>
      <x:c r="Q36" s="60" t="str"/>
    </x:row>
    <x:row r="37">
      <x:c r="A37" s="60" t="str">
        <x:v>FR-03-TC-035</x:v>
      </x:c>
      <x:c r="B37" s="60" t="str">
        <x:v>AI</x:v>
      </x:c>
      <x:c r="C37" s="60" t="str">
        <x:v>security</x:v>
      </x:c>
      <x:c r="D37" s="60" t="str">
        <x:v>Reset SQL injection ở email bị từ chối</x:v>
      </x:c>
      <x:c r="E37" s="60" t="str">
        <x:v>POST</x:v>
      </x:c>
      <x:c r="F37" s="60" t="str">
        <x:v>/api/reset-password</x:v>
      </x:c>
      <x:c r="G37" s="60" t="str">
        <x:v>none</x:v>
      </x:c>
      <x:c r="H37" s="60" t="str">
        <x:v>Backend được reset và seed; baseUrl khả dụng.</x:v>
      </x:c>
      <x:c r="I37" s="60" t="str">
        <x:v>{"email":"' OR 1=1 --","resetToken":"123456","newPassword":"ValidPass1!"}</x:v>
      </x:c>
      <x:c r="J37" s="61" t="n">
        <x:v>400</x:v>
      </x:c>
      <x:c r="K37" s="60" t="str">
        <x:v>status-and-schema</x:v>
      </x:c>
      <x:c r="L37" s="60" t="str">
        <x:v>SEC-05</x:v>
      </x:c>
      <x:c r="M37" s="60" t="str">
        <x:v>INCOMPLETE</x:v>
      </x:c>
      <x:c r="N37" s="60" t="str">
        <x:v>Bản AI ban đầu thiếu assertion schema hoặc hậu điều kiện có thể quan sát. Đã bổ sung expected keys và assertion nghiệp vụ tương ứng.</x:v>
      </x:c>
      <x:c r="O37" s="60" t="str">
        <x:v>HTTP 400; tất cả assertion đạt.</x:v>
      </x:c>
      <x:c r="P37" s="60" t="str">
        <x:v>PASS</x:v>
      </x:c>
      <x:c r="Q37" s="60" t="str"/>
    </x:row>
    <x:row r="38">
      <x:c r="A38" s="60" t="str">
        <x:v>FR-03-TC-036</x:v>
      </x:c>
      <x:c r="B38" s="60" t="str">
        <x:v>HUMAN</x:v>
      </x:c>
      <x:c r="C38" s="60" t="str">
        <x:v>security</x:v>
      </x:c>
      <x:c r="D38" s="60" t="str">
        <x:v>Chống brute-force OTP với nhiều lần thử sai</x:v>
      </x:c>
      <x:c r="E38" s="60" t="str">
        <x:v>POST</x:v>
      </x:c>
      <x:c r="F38" s="60" t="str">
        <x:v>/api/reset-password</x:v>
      </x:c>
      <x:c r="G38" s="60" t="str">
        <x:v>none</x:v>
      </x:c>
      <x:c r="H38" s="60" t="str">
        <x:v>Backend được reset và seed; baseUrl khả dụng.</x:v>
      </x:c>
      <x:c r="I38" s="60" t="str">
        <x:v>{"email":"test@eshop.com","resetToken":"000000","newPassword":"ValidPass1!"}</x:v>
      </x:c>
      <x:c r="J38" s="61" t="n">
        <x:v>429</x:v>
      </x:c>
      <x:c r="K38" s="60" t="str">
        <x:v>rate-limit</x:v>
      </x:c>
      <x:c r="L38" s="60" t="str"/>
      <x:c r="M38" s="60" t="str">
        <x:v>N/A</x:v>
      </x:c>
      <x:c r="N38" s="60" t="str">
        <x:v>Ca kiểm thử do sinh viên bổ sung sau audit. Không áp dụng.</x:v>
      </x:c>
      <x:c r="O38" s="60" t="str">
        <x:v>HTTP 400; 1 assertion lỗi: expected response to have status code 429 but got 400</x:v>
      </x:c>
      <x:c r="P38" s="60" t="str">
        <x:v>FAIL</x:v>
      </x:c>
      <x:c r="Q38" s="60" t="str">
        <x:v>BUG-FR03-04</x:v>
      </x:c>
    </x:row>
    <x:row r="39">
      <x:c r="A39" s="60" t="str">
        <x:v>FR-03-TC-037</x:v>
      </x:c>
      <x:c r="B39" s="60" t="str">
        <x:v>HUMAN</x:v>
      </x:c>
      <x:c r="C39" s="60" t="str">
        <x:v>state</x:v>
      </x:c>
      <x:c r="D39" s="60" t="str">
        <x:v>Hai yêu cầu OTP liên tiếp vô hiệu hóa OTP cũ</x:v>
      </x:c>
      <x:c r="E39" s="60" t="str">
        <x:v>POST</x:v>
      </x:c>
      <x:c r="F39" s="60" t="str">
        <x:v>/api/reset-password</x:v>
      </x:c>
      <x:c r="G39" s="60" t="str">
        <x:v>none</x:v>
      </x:c>
      <x:c r="H39" s="60" t="str">
        <x:v>Backend được reset và seed; baseUrl khả dụng.</x:v>
      </x:c>
      <x:c r="I39" s="60" t="str">
        <x:v>{"email":"test@eshop.com","resetToken":"{{oldOtp}}","newPassword":"ValidPass1!"}</x:v>
      </x:c>
      <x:c r="J39" s="61" t="n">
        <x:v>400</x:v>
      </x:c>
      <x:c r="K39" s="60" t="str">
        <x:v>status-and-schema</x:v>
      </x:c>
      <x:c r="L39" s="60" t="str">
        <x:v>SEC-07</x:v>
      </x:c>
      <x:c r="M39" s="60" t="str">
        <x:v>N/A</x:v>
      </x:c>
      <x:c r="N39" s="60" t="str">
        <x:v>Ca kiểm thử do sinh viên bổ sung sau audit. Không áp dụng.</x:v>
      </x:c>
      <x:c r="O39" s="60" t="str">
        <x:v>HTTP 400; tất cả assertion đạt.</x:v>
      </x:c>
      <x:c r="P39" s="60" t="str">
        <x:v>PASS</x:v>
      </x:c>
      <x:c r="Q39" s="60" t="str"/>
    </x:row>
    <x:row r="40">
      <x:c r="A40" s="60" t="str">
        <x:v>FR-03-TC-038</x:v>
      </x:c>
      <x:c r="B40" s="60" t="str">
        <x:v>HUMAN</x:v>
      </x:c>
      <x:c r="C40" s="60" t="str">
        <x:v>security</x:v>
      </x:c>
      <x:c r="D40" s="60" t="str">
        <x:v>OTP hết hạn bị từ chối</x:v>
      </x:c>
      <x:c r="E40" s="60" t="str">
        <x:v>POST</x:v>
      </x:c>
      <x:c r="F40" s="60" t="str">
        <x:v>/api/reset-password</x:v>
      </x:c>
      <x:c r="G40" s="60" t="str">
        <x:v>none</x:v>
      </x:c>
      <x:c r="H40" s="60" t="str">
        <x:v>Backend được reset và seed; baseUrl khả dụng.</x:v>
      </x:c>
      <x:c r="I40" s="60" t="str">
        <x:v>{"email":"test@eshop.com","resetToken":"111111","newPassword":"ValidPass1!"}</x:v>
      </x:c>
      <x:c r="J40" s="61" t="n">
        <x:v>400</x:v>
      </x:c>
      <x:c r="K40" s="60" t="str">
        <x:v>status-and-schema</x:v>
      </x:c>
      <x:c r="L40" s="60" t="str">
        <x:v>SEC-07</x:v>
      </x:c>
      <x:c r="M40" s="60" t="str">
        <x:v>N/A</x:v>
      </x:c>
      <x:c r="N40" s="60" t="str">
        <x:v>Ca kiểm thử do sinh viên bổ sung sau audit. Không áp dụng.</x:v>
      </x:c>
      <x:c r="O40" s="60" t="str">
        <x:v>HTTP 400; tất cả assertion đạt.</x:v>
      </x:c>
      <x:c r="P40" s="60" t="str">
        <x:v>PASS</x:v>
      </x:c>
      <x:c r="Q40" s="60" t="str"/>
    </x:row>
    <x:row r="41">
      <x:c r="A41" s="60" t="str">
        <x:v>FR-03-TC-039</x:v>
      </x:c>
      <x:c r="B41" s="60" t="str">
        <x:v>HUMAN</x:v>
      </x:c>
      <x:c r="C41" s="60" t="str">
        <x:v>security</x:v>
      </x:c>
      <x:c r="D41" s="60" t="str">
        <x:v>Null byte trong email không vượt kiểm tra</x:v>
      </x:c>
      <x:c r="E41" s="60" t="str">
        <x:v>POST</x:v>
      </x:c>
      <x:c r="F41" s="60" t="str">
        <x:v>/api/forgot-password</x:v>
      </x:c>
      <x:c r="G41" s="60" t="str">
        <x:v>none</x:v>
      </x:c>
      <x:c r="H41" s="60" t="str">
        <x:v>Backend được reset và seed; baseUrl khả dụng.</x:v>
      </x:c>
      <x:c r="I41" s="60" t="str">
        <x:v>{"email":"test@eshop.com\u0000.attacker"}</x:v>
      </x:c>
      <x:c r="J41" s="61" t="n">
        <x:v>400</x:v>
      </x:c>
      <x:c r="K41" s="60" t="str">
        <x:v>status-and-schema</x:v>
      </x:c>
      <x:c r="L41" s="60" t="str">
        <x:v>SEC-05</x:v>
      </x:c>
      <x:c r="M41" s="60" t="str">
        <x:v>N/A</x:v>
      </x:c>
      <x:c r="N41" s="60" t="str">
        <x:v>Ca kiểm thử do sinh viên bổ sung sau audit. Không áp dụng.</x:v>
      </x:c>
      <x:c r="O41" s="60" t="str">
        <x:v>HTTP 404; 1 assertion lỗi: expected response to have status code 400 but got 404</x:v>
      </x:c>
      <x:c r="P41" s="60" t="str">
        <x:v>FAIL</x:v>
      </x:c>
      <x:c r="Q41" s="60" t="str">
        <x:v>BUG-FR03-02</x:v>
      </x:c>
    </x:row>
    <x:row r="42">
      <x:c r="A42" s="60" t="str">
        <x:v>FR-03-TC-040</x:v>
      </x:c>
      <x:c r="B42" s="60" t="str">
        <x:v>HUMAN</x:v>
      </x:c>
      <x:c r="C42" s="60" t="str">
        <x:v>state</x:v>
      </x:c>
      <x:c r="D42" s="60" t="str">
        <x:v>Mật khẩu không đổi khi OTP sai</x:v>
      </x:c>
      <x:c r="E42" s="60" t="str">
        <x:v>POST</x:v>
      </x:c>
      <x:c r="F42" s="60" t="str">
        <x:v>/api/reset-password</x:v>
      </x:c>
      <x:c r="G42" s="60" t="str">
        <x:v>none</x:v>
      </x:c>
      <x:c r="H42" s="60" t="str">
        <x:v>Backend được reset và seed; baseUrl khả dụng.</x:v>
      </x:c>
      <x:c r="I42" s="60" t="str">
        <x:v>{"email":"test@eshop.com","resetToken":"999999","newPassword":"ShouldNot1!"}</x:v>
      </x:c>
      <x:c r="J42" s="61" t="n">
        <x:v>400</x:v>
      </x:c>
      <x:c r="K42" s="60" t="str">
        <x:v>password-unchanged</x:v>
      </x:c>
      <x:c r="L42" s="60" t="str">
        <x:v>SEC-07</x:v>
      </x:c>
      <x:c r="M42" s="60" t="str">
        <x:v>N/A</x:v>
      </x:c>
      <x:c r="N42" s="60" t="str">
        <x:v>Ca kiểm thử do sinh viên bổ sung sau audit. Không áp dụng.</x:v>
      </x:c>
      <x:c r="O42" s="60" t="str">
        <x:v>HTTP 400; tất cả assertion đạt.</x:v>
      </x:c>
      <x:c r="P42" s="60" t="str">
        <x:v>PASS</x:v>
      </x:c>
      <x:c r="Q42" s="60" t="str"/>
    </x:row>
  </x:sheetData>
  <x:mergeCells>
    <x:mergeCell ref="A1:Q1"/>
  </x:mergeCells>
  <x:conditionalFormatting sqref="P3:P42">
    <x:cfRule type="containsText" dxfId="0" priority="1" operator="containsText" text="PASS"/>
    <x:cfRule type="containsText" dxfId="1" priority="2" operator="containsText" text="FAIL"/>
  </x:conditionalFormatting>
  <x:conditionalFormatting sqref="M3:M42">
    <x:cfRule type="containsText" dxfId="2" priority="3" operator="containsText" text="INCOMPLETE"/>
    <x:cfRule type="containsText" dxfId="3" priority="4" operator="containsText" text="INVALID"/>
  </x:conditionalFormatting>
  <x:dataValidations count="1">
    <x:dataValidation type="list" sqref="P3:P42">
      <x:formula1>"PASS,FAIL,NOT_RUN"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81413233ce499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2" hidden="0" customWidth="1"/>
    <x:col min="3" max="3" width="12" hidden="0" customWidth="1"/>
    <x:col min="4" max="4" width="35" hidden="0" customWidth="1"/>
    <x:col min="5" max="5" width="10" hidden="0" customWidth="1"/>
    <x:col min="6" max="6" width="34" hidden="0" customWidth="1"/>
    <x:col min="7" max="7" width="10" hidden="0" customWidth="1"/>
    <x:col min="8" max="8" width="36" hidden="0" customWidth="1"/>
    <x:col min="9" max="9" width="36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48" hidden="0" customWidth="1"/>
    <x:col min="15" max="15" width="48" hidden="0" customWidth="1"/>
    <x:col min="16" max="16" width="16" hidden="0" customWidth="1"/>
    <x:col min="17" max="17" width="16" hidden="0" customWidth="1"/>
  </x:cols>
  <x:sheetData>
    <x:row r="1">
      <x:c r="A1" s="45" t="str">
        <x:v>FR-09 - 40 TEST CASES (35 AI + 5 HUMAN)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</x:row>
    <x:row r="2">
      <x:c r="A2" s="56" t="str">
        <x:v>ID</x:v>
      </x:c>
      <x:c r="B2" s="57" t="str">
        <x:v>Nguồn</x:v>
      </x:c>
      <x:c r="C2" s="57" t="str">
        <x:v>Loại</x:v>
      </x:c>
      <x:c r="D2" s="57" t="str">
        <x:v>Tên ca kiểm thử</x:v>
      </x:c>
      <x:c r="E2" s="57" t="str">
        <x:v>Method</x:v>
      </x:c>
      <x:c r="F2" s="57" t="str">
        <x:v>Endpoint</x:v>
      </x:c>
      <x:c r="G2" s="57" t="str">
        <x:v>Auth</x:v>
      </x:c>
      <x:c r="H2" s="57" t="str">
        <x:v>Tiền điều kiện</x:v>
      </x:c>
      <x:c r="I2" s="57" t="str">
        <x:v>Dữ liệu đầu vào</x:v>
      </x:c>
      <x:c r="J2" s="57" t="str">
        <x:v>HTTP mong đợi</x:v>
      </x:c>
      <x:c r="K2" s="57" t="str">
        <x:v>Oracle</x:v>
      </x:c>
      <x:c r="L2" s="57" t="str">
        <x:v>SEC</x:v>
      </x:c>
      <x:c r="M2" s="57" t="str">
        <x:v>Audit</x:v>
      </x:c>
      <x:c r="N2" s="57" t="str">
        <x:v>Lý do / Correction</x:v>
      </x:c>
      <x:c r="O2" s="57" t="str">
        <x:v>Kết quả thực tế</x:v>
      </x:c>
      <x:c r="P2" s="57" t="str">
        <x:v>Trạng thái</x:v>
      </x:c>
      <x:c r="Q2" s="58" t="str">
        <x:v>Bug ID</x:v>
      </x:c>
    </x:row>
    <x:row r="3">
      <x:c r="A3" s="60" t="str">
        <x:v>FR-09-TC-001</x:v>
      </x:c>
      <x:c r="B3" s="60" t="str">
        <x:v>AI</x:v>
      </x:c>
      <x:c r="C3" s="60" t="str">
        <x:v>domain</x:v>
      </x:c>
      <x:c r="D3" s="60" t="str">
        <x:v>SAVE10 hợp lệ trên ngưỡng</x:v>
      </x:c>
      <x:c r="E3" s="60" t="str">
        <x:v>POST</x:v>
      </x:c>
      <x:c r="F3" s="60" t="str">
        <x:v>/api/apply-coupon</x:v>
      </x:c>
      <x:c r="G3" s="60" t="str">
        <x:v>user</x:v>
      </x:c>
      <x:c r="H3" s="60" t="str">
        <x:v>Backend được reset và seed; baseUrl khả dụng.</x:v>
      </x:c>
      <x:c r="I3" s="60" t="str">
        <x:v>{"code":"SAVE10","total_amount":500000,"user_id":2}</x:v>
      </x:c>
      <x:c r="J3" s="61" t="n">
        <x:v>200</x:v>
      </x:c>
      <x:c r="K3" s="60" t="str">
        <x:v>percent-formula</x:v>
      </x:c>
      <x:c r="L3" s="60" t="str"/>
      <x:c r="M3" s="60" t="str">
        <x:v>VALID</x:v>
      </x:c>
      <x:c r="N3" s="60" t="str">
        <x:v>Ca kiểm thử bám đúng đặc tả, có dữ liệu và oracle kiểm tra được. Không cần chỉnh sửa.</x:v>
      </x:c>
      <x:c r="O3" s="60" t="str">
        <x:v>HTTP 200; 1 assertion lỗi: expected -4500000 to deeply equal 50000</x:v>
      </x:c>
      <x:c r="P3" s="60" t="str">
        <x:v>FAIL</x:v>
      </x:c>
      <x:c r="Q3" s="60" t="str">
        <x:v>BUG-FR09-01</x:v>
      </x:c>
    </x:row>
    <x:row r="4">
      <x:c r="A4" s="60" t="str">
        <x:v>FR-09-TC-002</x:v>
      </x:c>
      <x:c r="B4" s="60" t="str">
        <x:v>AI</x:v>
      </x:c>
      <x:c r="C4" s="60" t="str">
        <x:v>domain</x:v>
      </x:c>
      <x:c r="D4" s="60" t="str">
        <x:v>BIGBUY fixed hợp lệ</x:v>
      </x:c>
      <x:c r="E4" s="60" t="str">
        <x:v>POST</x:v>
      </x:c>
      <x:c r="F4" s="60" t="str">
        <x:v>/api/apply-coupon</x:v>
      </x:c>
      <x:c r="G4" s="60" t="str">
        <x:v>user</x:v>
      </x:c>
      <x:c r="H4" s="60" t="str">
        <x:v>Backend được reset và seed; baseUrl khả dụng.</x:v>
      </x:c>
      <x:c r="I4" s="60" t="str">
        <x:v>{"code":"BIGBUY","total_amount":600000,"user_id":2}</x:v>
      </x:c>
      <x:c r="J4" s="61" t="n">
        <x:v>200</x:v>
      </x:c>
      <x:c r="K4" s="60" t="str">
        <x:v>fixed-formula</x:v>
      </x:c>
      <x:c r="L4" s="60" t="str"/>
      <x:c r="M4" s="60" t="str">
        <x:v>VALID</x:v>
      </x:c>
      <x:c r="N4" s="60" t="str">
        <x:v>Ca kiểm thử bám đúng đặc tả, có dữ liệu và oracle kiểm tra được. Không cần chỉnh sửa.</x:v>
      </x:c>
      <x:c r="O4" s="60" t="str">
        <x:v>HTTP 200; tất cả assertion đạt.</x:v>
      </x:c>
      <x:c r="P4" s="60" t="str">
        <x:v>PASS</x:v>
      </x:c>
      <x:c r="Q4" s="60" t="str"/>
    </x:row>
    <x:row r="5">
      <x:c r="A5" s="60" t="str">
        <x:v>FR-09-TC-003</x:v>
      </x:c>
      <x:c r="B5" s="60" t="str">
        <x:v>AI</x:v>
      </x:c>
      <x:c r="C5" s="60" t="str">
        <x:v>domain</x:v>
      </x:c>
      <x:c r="D5" s="60" t="str">
        <x:v>VIP100 hợp lệ</x:v>
      </x:c>
      <x:c r="E5" s="60" t="str">
        <x:v>POST</x:v>
      </x:c>
      <x:c r="F5" s="60" t="str">
        <x:v>/api/apply-coupon</x:v>
      </x:c>
      <x:c r="G5" s="60" t="str">
        <x:v>user</x:v>
      </x:c>
      <x:c r="H5" s="60" t="str">
        <x:v>Backend được reset và seed; baseUrl khả dụng.</x:v>
      </x:c>
      <x:c r="I5" s="60" t="str">
        <x:v>{"code":"VIP100","total_amount":500000,"user_id":2}</x:v>
      </x:c>
      <x:c r="J5" s="61" t="n">
        <x:v>200</x:v>
      </x:c>
      <x:c r="K5" s="60" t="str">
        <x:v>fixed-formula</x:v>
      </x:c>
      <x:c r="L5" s="60" t="str"/>
      <x:c r="M5" s="60" t="str">
        <x:v>VALID</x:v>
      </x:c>
      <x:c r="N5" s="60" t="str">
        <x:v>Ca kiểm thử bám đúng đặc tả, có dữ liệu và oracle kiểm tra được. Không cần chỉnh sửa.</x:v>
      </x:c>
      <x:c r="O5" s="60" t="str">
        <x:v>HTTP 200; tất cả assertion đạt.</x:v>
      </x:c>
      <x:c r="P5" s="60" t="str">
        <x:v>PASS</x:v>
      </x:c>
      <x:c r="Q5" s="60" t="str"/>
    </x:row>
    <x:row r="6">
      <x:c r="A6" s="60" t="str">
        <x:v>FR-09-TC-004</x:v>
      </x:c>
      <x:c r="B6" s="60" t="str">
        <x:v>AI</x:v>
      </x:c>
      <x:c r="C6" s="60" t="str">
        <x:v>state</x:v>
      </x:c>
      <x:c r="D6" s="60" t="str">
        <x:v>Coupon hết hạn bị từ chối</x:v>
      </x:c>
      <x:c r="E6" s="60" t="str">
        <x:v>POST</x:v>
      </x:c>
      <x:c r="F6" s="60" t="str">
        <x:v>/api/apply-coupon</x:v>
      </x:c>
      <x:c r="G6" s="60" t="str">
        <x:v>user</x:v>
      </x:c>
      <x:c r="H6" s="60" t="str">
        <x:v>Backend được reset và seed; baseUrl khả dụng.</x:v>
      </x:c>
      <x:c r="I6" s="60" t="str">
        <x:v>{"code":"EXPIRED","total_amount":500000,"user_id":2}</x:v>
      </x:c>
      <x:c r="J6" s="61" t="n">
        <x:v>400</x:v>
      </x:c>
      <x:c r="K6" s="60" t="str">
        <x:v>status-and-schema</x:v>
      </x:c>
      <x:c r="L6" s="60" t="str"/>
      <x:c r="M6" s="60" t="str">
        <x:v>VALID</x:v>
      </x:c>
      <x:c r="N6" s="60" t="str">
        <x:v>Ca kiểm thử bám đúng đặc tả, có dữ liệu và oracle kiểm tra được. Không cần chỉnh sửa.</x:v>
      </x:c>
      <x:c r="O6" s="60" t="str">
        <x:v>HTTP 400; tất cả assertion đạt.</x:v>
      </x:c>
      <x:c r="P6" s="60" t="str">
        <x:v>PASS</x:v>
      </x:c>
      <x:c r="Q6" s="60" t="str"/>
    </x:row>
    <x:row r="7">
      <x:c r="A7" s="60" t="str">
        <x:v>FR-09-TC-005</x:v>
      </x:c>
      <x:c r="B7" s="60" t="str">
        <x:v>AI</x:v>
      </x:c>
      <x:c r="C7" s="60" t="str">
        <x:v>domain</x:v>
      </x:c>
      <x:c r="D7" s="60" t="str">
        <x:v>Coupon không tồn tại</x:v>
      </x:c>
      <x:c r="E7" s="60" t="str">
        <x:v>POST</x:v>
      </x:c>
      <x:c r="F7" s="60" t="str">
        <x:v>/api/apply-coupon</x:v>
      </x:c>
      <x:c r="G7" s="60" t="str">
        <x:v>user</x:v>
      </x:c>
      <x:c r="H7" s="60" t="str">
        <x:v>Backend được reset và seed; baseUrl khả dụng.</x:v>
      </x:c>
      <x:c r="I7" s="60" t="str">
        <x:v>{"code":"NO_SUCH_CODE","total_amount":500000,"user_id":2}</x:v>
      </x:c>
      <x:c r="J7" s="61" t="n">
        <x:v>404</x:v>
      </x:c>
      <x:c r="K7" s="60" t="str">
        <x:v>status-and-schema</x:v>
      </x:c>
      <x:c r="L7" s="60" t="str"/>
      <x:c r="M7" s="60" t="str">
        <x:v>VALID</x:v>
      </x:c>
      <x:c r="N7" s="60" t="str">
        <x:v>Ca kiểm thử bám đúng đặc tả, có dữ liệu và oracle kiểm tra được. Không cần chỉnh sửa.</x:v>
      </x:c>
      <x:c r="O7" s="60" t="str">
        <x:v>HTTP 404; tất cả assertion đạt.</x:v>
      </x:c>
      <x:c r="P7" s="60" t="str">
        <x:v>PASS</x:v>
      </x:c>
      <x:c r="Q7" s="60" t="str"/>
    </x:row>
    <x:row r="8">
      <x:c r="A8" s="60" t="str">
        <x:v>FR-09-TC-006</x:v>
      </x:c>
      <x:c r="B8" s="60" t="str">
        <x:v>AI</x:v>
      </x:c>
      <x:c r="C8" s="60" t="str">
        <x:v>partition</x:v>
      </x:c>
      <x:c r="D8" s="60" t="str">
        <x:v>Thiếu code</x:v>
      </x:c>
      <x:c r="E8" s="60" t="str">
        <x:v>POST</x:v>
      </x:c>
      <x:c r="F8" s="60" t="str">
        <x:v>/api/apply-coupon</x:v>
      </x:c>
      <x:c r="G8" s="60" t="str">
        <x:v>user</x:v>
      </x:c>
      <x:c r="H8" s="60" t="str">
        <x:v>Backend được reset và seed; baseUrl khả dụng.</x:v>
      </x:c>
      <x:c r="I8" s="60" t="str">
        <x:v>{"total_amount":500000,"user_id":2}</x:v>
      </x:c>
      <x:c r="J8" s="61" t="n">
        <x:v>400</x:v>
      </x:c>
      <x:c r="K8" s="60" t="str">
        <x:v>status-and-schema</x:v>
      </x:c>
      <x:c r="L8" s="60" t="str"/>
      <x:c r="M8" s="60" t="str">
        <x:v>VALID</x:v>
      </x:c>
      <x:c r="N8" s="60" t="str">
        <x:v>Ca kiểm thử bám đúng đặc tả, có dữ liệu và oracle kiểm tra được. Không cần chỉnh sửa.</x:v>
      </x:c>
      <x:c r="O8" s="60" t="str">
        <x:v>HTTP 400; tất cả assertion đạt.</x:v>
      </x:c>
      <x:c r="P8" s="60" t="str">
        <x:v>PASS</x:v>
      </x:c>
      <x:c r="Q8" s="60" t="str"/>
    </x:row>
    <x:row r="9">
      <x:c r="A9" s="60" t="str">
        <x:v>FR-09-TC-007</x:v>
      </x:c>
      <x:c r="B9" s="60" t="str">
        <x:v>AI</x:v>
      </x:c>
      <x:c r="C9" s="60" t="str">
        <x:v>partition</x:v>
      </x:c>
      <x:c r="D9" s="60" t="str">
        <x:v>Code rỗng</x:v>
      </x:c>
      <x:c r="E9" s="60" t="str">
        <x:v>POST</x:v>
      </x:c>
      <x:c r="F9" s="60" t="str">
        <x:v>/api/apply-coupon</x:v>
      </x:c>
      <x:c r="G9" s="60" t="str">
        <x:v>user</x:v>
      </x:c>
      <x:c r="H9" s="60" t="str">
        <x:v>Backend được reset và seed; baseUrl khả dụng.</x:v>
      </x:c>
      <x:c r="I9" s="60" t="str">
        <x:v>{"code":"","total_amount":500000,"user_id":2}</x:v>
      </x:c>
      <x:c r="J9" s="61" t="n">
        <x:v>400</x:v>
      </x:c>
      <x:c r="K9" s="60" t="str">
        <x:v>status-and-schema</x:v>
      </x:c>
      <x:c r="L9" s="60" t="str"/>
      <x:c r="M9" s="60" t="str">
        <x:v>INCOMPLETE</x:v>
      </x:c>
      <x:c r="N9" s="60" t="str">
        <x:v>Bản AI ban đầu thiếu assertion schema hoặc hậu điều kiện có thể quan sát. Đã bổ sung expected keys và assertion nghiệp vụ tương ứng.</x:v>
      </x:c>
      <x:c r="O9" s="60" t="str">
        <x:v>HTTP 400; tất cả assertion đạt.</x:v>
      </x:c>
      <x:c r="P9" s="60" t="str">
        <x:v>PASS</x:v>
      </x:c>
      <x:c r="Q9" s="60" t="str"/>
    </x:row>
    <x:row r="10">
      <x:c r="A10" s="60" t="str">
        <x:v>FR-09-TC-008</x:v>
      </x:c>
      <x:c r="B10" s="60" t="str">
        <x:v>AI</x:v>
      </x:c>
      <x:c r="C10" s="60" t="str">
        <x:v>partition</x:v>
      </x:c>
      <x:c r="D10" s="60" t="str">
        <x:v>Code chỉ có khoảng trắng</x:v>
      </x:c>
      <x:c r="E10" s="60" t="str">
        <x:v>POST</x:v>
      </x:c>
      <x:c r="F10" s="60" t="str">
        <x:v>/api/apply-coupon</x:v>
      </x:c>
      <x:c r="G10" s="60" t="str">
        <x:v>user</x:v>
      </x:c>
      <x:c r="H10" s="60" t="str">
        <x:v>Backend được reset và seed; baseUrl khả dụng.</x:v>
      </x:c>
      <x:c r="I10" s="60" t="str">
        <x:v>{"code":"   ","total_amount":500000,"user_id":2}</x:v>
      </x:c>
      <x:c r="J10" s="61" t="n">
        <x:v>400</x:v>
      </x:c>
      <x:c r="K10" s="60" t="str">
        <x:v>status-and-schema</x:v>
      </x:c>
      <x:c r="L10" s="60" t="str"/>
      <x:c r="M10" s="60" t="str">
        <x:v>VALID</x:v>
      </x:c>
      <x:c r="N10" s="60" t="str">
        <x:v>Ca kiểm thử bám đúng đặc tả, có dữ liệu và oracle kiểm tra được. Không cần chỉnh sửa.</x:v>
      </x:c>
      <x:c r="O10" s="60" t="str">
        <x:v>HTTP 404; 1 assertion lỗi: expected response to have status code 400 but got 404</x:v>
      </x:c>
      <x:c r="P10" s="60" t="str">
        <x:v>FAIL</x:v>
      </x:c>
      <x:c r="Q10" s="60" t="str">
        <x:v>REVIEW</x:v>
      </x:c>
    </x:row>
    <x:row r="11">
      <x:c r="A11" s="60" t="str">
        <x:v>FR-09-TC-009</x:v>
      </x:c>
      <x:c r="B11" s="60" t="str">
        <x:v>AI</x:v>
      </x:c>
      <x:c r="C11" s="60" t="str">
        <x:v>partition</x:v>
      </x:c>
      <x:c r="D11" s="60" t="str">
        <x:v>Code sai chữ thường hoa</x:v>
      </x:c>
      <x:c r="E11" s="60" t="str">
        <x:v>POST</x:v>
      </x:c>
      <x:c r="F11" s="60" t="str">
        <x:v>/api/apply-coupon</x:v>
      </x:c>
      <x:c r="G11" s="60" t="str">
        <x:v>user</x:v>
      </x:c>
      <x:c r="H11" s="60" t="str">
        <x:v>Backend được reset và seed; baseUrl khả dụng.</x:v>
      </x:c>
      <x:c r="I11" s="60" t="str">
        <x:v>{"code":"save10","total_amount":500000,"user_id":2}</x:v>
      </x:c>
      <x:c r="J11" s="61" t="n">
        <x:v>404</x:v>
      </x:c>
      <x:c r="K11" s="60" t="str">
        <x:v>status-and-schema</x:v>
      </x:c>
      <x:c r="L11" s="60" t="str"/>
      <x:c r="M11" s="60" t="str">
        <x:v>VALID</x:v>
      </x:c>
      <x:c r="N11" s="60" t="str">
        <x:v>Ca kiểm thử bám đúng đặc tả, có dữ liệu và oracle kiểm tra được. Không cần chỉnh sửa.</x:v>
      </x:c>
      <x:c r="O11" s="60" t="str">
        <x:v>HTTP 404; tất cả assertion đạt.</x:v>
      </x:c>
      <x:c r="P11" s="60" t="str">
        <x:v>PASS</x:v>
      </x:c>
      <x:c r="Q11" s="60" t="str"/>
    </x:row>
    <x:row r="12">
      <x:c r="A12" s="60" t="str">
        <x:v>FR-09-TC-010</x:v>
      </x:c>
      <x:c r="B12" s="60" t="str">
        <x:v>AI</x:v>
      </x:c>
      <x:c r="C12" s="60" t="str">
        <x:v>security</x:v>
      </x:c>
      <x:c r="D12" s="60" t="str">
        <x:v>Code SQL injection không được thực thi</x:v>
      </x:c>
      <x:c r="E12" s="60" t="str">
        <x:v>POST</x:v>
      </x:c>
      <x:c r="F12" s="60" t="str">
        <x:v>/api/apply-coupon</x:v>
      </x:c>
      <x:c r="G12" s="60" t="str">
        <x:v>user</x:v>
      </x:c>
      <x:c r="H12" s="60" t="str">
        <x:v>Backend được reset và seed; baseUrl khả dụng.</x:v>
      </x:c>
      <x:c r="I12" s="60" t="str">
        <x:v>{"code":"' OR 1=1 --","total_amount":500000,"user_id":2}</x:v>
      </x:c>
      <x:c r="J12" s="61" t="n">
        <x:v>404</x:v>
      </x:c>
      <x:c r="K12" s="60" t="str">
        <x:v>status-and-schema</x:v>
      </x:c>
      <x:c r="L12" s="60" t="str">
        <x:v>SEC-05</x:v>
      </x:c>
      <x:c r="M12" s="60" t="str">
        <x:v>VALID</x:v>
      </x:c>
      <x:c r="N12" s="60" t="str">
        <x:v>Ca kiểm thử bám đúng đặc tả, có dữ liệu và oracle kiểm tra được. Không cần chỉnh sửa.</x:v>
      </x:c>
      <x:c r="O12" s="60" t="str">
        <x:v>HTTP 404; tất cả assertion đạt.</x:v>
      </x:c>
      <x:c r="P12" s="60" t="str">
        <x:v>PASS</x:v>
      </x:c>
      <x:c r="Q12" s="60" t="str"/>
    </x:row>
    <x:row r="13">
      <x:c r="A13" s="60" t="str">
        <x:v>FR-09-TC-011</x:v>
      </x:c>
      <x:c r="B13" s="60" t="str">
        <x:v>AI</x:v>
      </x:c>
      <x:c r="C13" s="60" t="str">
        <x:v>boundary</x:v>
      </x:c>
      <x:c r="D13" s="60" t="str">
        <x:v>SAVE10 đúng ngưỡng tối thiểu</x:v>
      </x:c>
      <x:c r="E13" s="60" t="str">
        <x:v>POST</x:v>
      </x:c>
      <x:c r="F13" s="60" t="str">
        <x:v>/api/apply-coupon</x:v>
      </x:c>
      <x:c r="G13" s="60" t="str">
        <x:v>user</x:v>
      </x:c>
      <x:c r="H13" s="60" t="str">
        <x:v>Backend được reset và seed; baseUrl khả dụng.</x:v>
      </x:c>
      <x:c r="I13" s="60" t="str">
        <x:v>{"code":"SAVE10","total_amount":300000,"user_id":2}</x:v>
      </x:c>
      <x:c r="J13" s="61" t="n">
        <x:v>200</x:v>
      </x:c>
      <x:c r="K13" s="60" t="str">
        <x:v>percent-formula</x:v>
      </x:c>
      <x:c r="L13" s="60" t="str"/>
      <x:c r="M13" s="60" t="str">
        <x:v>INVALID</x:v>
      </x:c>
      <x:c r="N13" s="60" t="str">
        <x:v>Bản AI ban đầu suy đoán oracle theo hành vi phổ biến thay vì truy vết SRS. Đã thay oracle bằng status/ràng buộc trong SRS và bổ sung liên kết FR/SEC.</x:v>
      </x:c>
      <x:c r="O13" s="60" t="str">
        <x:v>HTTP 400; 5 assertion lỗi: expected response to have status code 200 but got 400 | expected { Object (error) } to have property 'success' | expected { Object (error) } to have property 'discount_amount' | expected { Object (error) } to have property 'final_amount' | expected undefined to deeply equal 30000</x:v>
      </x:c>
      <x:c r="P13" s="60" t="str">
        <x:v>FAIL</x:v>
      </x:c>
      <x:c r="Q13" s="60" t="str">
        <x:v>BUG-FR09-02</x:v>
      </x:c>
    </x:row>
    <x:row r="14">
      <x:c r="A14" s="60" t="str">
        <x:v>FR-09-TC-012</x:v>
      </x:c>
      <x:c r="B14" s="60" t="str">
        <x:v>AI</x:v>
      </x:c>
      <x:c r="C14" s="60" t="str">
        <x:v>boundary</x:v>
      </x:c>
      <x:c r="D14" s="60" t="str">
        <x:v>SAVE10 thấp hơn ngưỡng 1 đồng</x:v>
      </x:c>
      <x:c r="E14" s="60" t="str">
        <x:v>POST</x:v>
      </x:c>
      <x:c r="F14" s="60" t="str">
        <x:v>/api/apply-coupon</x:v>
      </x:c>
      <x:c r="G14" s="60" t="str">
        <x:v>user</x:v>
      </x:c>
      <x:c r="H14" s="60" t="str">
        <x:v>Backend được reset và seed; baseUrl khả dụng.</x:v>
      </x:c>
      <x:c r="I14" s="60" t="str">
        <x:v>{"code":"SAVE10","total_amount":299999,"user_id":2}</x:v>
      </x:c>
      <x:c r="J14" s="61" t="n">
        <x:v>400</x:v>
      </x:c>
      <x:c r="K14" s="60" t="str">
        <x:v>status-and-schema</x:v>
      </x:c>
      <x:c r="L14" s="60" t="str"/>
      <x:c r="M14" s="60" t="str">
        <x:v>VALID</x:v>
      </x:c>
      <x:c r="N14" s="60" t="str">
        <x:v>Ca kiểm thử bám đúng đặc tả, có dữ liệu và oracle kiểm tra được. Không cần chỉnh sửa.</x:v>
      </x:c>
      <x:c r="O14" s="60" t="str">
        <x:v>HTTP 400; tất cả assertion đạt.</x:v>
      </x:c>
      <x:c r="P14" s="60" t="str">
        <x:v>PASS</x:v>
      </x:c>
      <x:c r="Q14" s="60" t="str"/>
    </x:row>
    <x:row r="15">
      <x:c r="A15" s="60" t="str">
        <x:v>FR-09-TC-013</x:v>
      </x:c>
      <x:c r="B15" s="60" t="str">
        <x:v>AI</x:v>
      </x:c>
      <x:c r="C15" s="60" t="str">
        <x:v>boundary</x:v>
      </x:c>
      <x:c r="D15" s="60" t="str">
        <x:v>SAVE10 cao hơn ngưỡng 1 đồng</x:v>
      </x:c>
      <x:c r="E15" s="60" t="str">
        <x:v>POST</x:v>
      </x:c>
      <x:c r="F15" s="60" t="str">
        <x:v>/api/apply-coupon</x:v>
      </x:c>
      <x:c r="G15" s="60" t="str">
        <x:v>user</x:v>
      </x:c>
      <x:c r="H15" s="60" t="str">
        <x:v>Backend được reset và seed; baseUrl khả dụng.</x:v>
      </x:c>
      <x:c r="I15" s="60" t="str">
        <x:v>{"code":"SAVE10","total_amount":300001,"user_id":2}</x:v>
      </x:c>
      <x:c r="J15" s="61" t="n">
        <x:v>200</x:v>
      </x:c>
      <x:c r="K15" s="60" t="str">
        <x:v>percent-formula</x:v>
      </x:c>
      <x:c r="L15" s="60" t="str"/>
      <x:c r="M15" s="60" t="str">
        <x:v>VALID</x:v>
      </x:c>
      <x:c r="N15" s="60" t="str">
        <x:v>Ca kiểm thử bám đúng đặc tả, có dữ liệu và oracle kiểm tra được. Không cần chỉnh sửa.</x:v>
      </x:c>
      <x:c r="O15" s="60" t="str">
        <x:v>HTTP 200; 1 assertion lỗi: expected -2700009 to deeply equal 30000</x:v>
      </x:c>
      <x:c r="P15" s="60" t="str">
        <x:v>FAIL</x:v>
      </x:c>
      <x:c r="Q15" s="60" t="str">
        <x:v>BUG-FR09-01</x:v>
      </x:c>
    </x:row>
    <x:row r="16">
      <x:c r="A16" s="60" t="str">
        <x:v>FR-09-TC-014</x:v>
      </x:c>
      <x:c r="B16" s="60" t="str">
        <x:v>AI</x:v>
      </x:c>
      <x:c r="C16" s="60" t="str">
        <x:v>boundary</x:v>
      </x:c>
      <x:c r="D16" s="60" t="str">
        <x:v>BIGBUY đúng ngưỡng tối thiểu</x:v>
      </x:c>
      <x:c r="E16" s="60" t="str">
        <x:v>POST</x:v>
      </x:c>
      <x:c r="F16" s="60" t="str">
        <x:v>/api/apply-coupon</x:v>
      </x:c>
      <x:c r="G16" s="60" t="str">
        <x:v>user</x:v>
      </x:c>
      <x:c r="H16" s="60" t="str">
        <x:v>Backend được reset và seed; baseUrl khả dụng.</x:v>
      </x:c>
      <x:c r="I16" s="60" t="str">
        <x:v>{"code":"BIGBUY","total_amount":500000,"user_id":2}</x:v>
      </x:c>
      <x:c r="J16" s="61" t="n">
        <x:v>200</x:v>
      </x:c>
      <x:c r="K16" s="60" t="str">
        <x:v>fixed-formula</x:v>
      </x:c>
      <x:c r="L16" s="60" t="str"/>
      <x:c r="M16" s="60" t="str">
        <x:v>INCOMPLETE</x:v>
      </x:c>
      <x:c r="N16" s="60" t="str">
        <x:v>Bản AI ban đầu thiếu assertion schema hoặc hậu điều kiện có thể quan sát. Đã bổ sung expected keys và assertion nghiệp vụ tương ứng.</x:v>
      </x:c>
      <x:c r="O16" s="60" t="str">
        <x:v>HTTP 400; 5 assertion lỗi: expected response to have status code 200 but got 400 | expected { Object (error) } to have property 'success' | expected { Object (error) } to have property 'discount_amount' | expected { Object (error) } to have property 'final_amount' | expected undefined to deeply equal 50000</x:v>
      </x:c>
      <x:c r="P16" s="60" t="str">
        <x:v>FAIL</x:v>
      </x:c>
      <x:c r="Q16" s="60" t="str">
        <x:v>BUG-FR09-02</x:v>
      </x:c>
    </x:row>
    <x:row r="17">
      <x:c r="A17" s="60" t="str">
        <x:v>FR-09-TC-015</x:v>
      </x:c>
      <x:c r="B17" s="60" t="str">
        <x:v>AI</x:v>
      </x:c>
      <x:c r="C17" s="60" t="str">
        <x:v>partition</x:v>
      </x:c>
      <x:c r="D17" s="60" t="str">
        <x:v>total_amount âm</x:v>
      </x:c>
      <x:c r="E17" s="60" t="str">
        <x:v>POST</x:v>
      </x:c>
      <x:c r="F17" s="60" t="str">
        <x:v>/api/apply-coupon</x:v>
      </x:c>
      <x:c r="G17" s="60" t="str">
        <x:v>user</x:v>
      </x:c>
      <x:c r="H17" s="60" t="str">
        <x:v>Backend được reset và seed; baseUrl khả dụng.</x:v>
      </x:c>
      <x:c r="I17" s="60" t="str">
        <x:v>{"code":"SAVE10","total_amount":-1,"user_id":2}</x:v>
      </x:c>
      <x:c r="J17" s="61" t="n">
        <x:v>400</x:v>
      </x:c>
      <x:c r="K17" s="60" t="str">
        <x:v>status-and-schema</x:v>
      </x:c>
      <x:c r="L17" s="60" t="str"/>
      <x:c r="M17" s="60" t="str">
        <x:v>VALID</x:v>
      </x:c>
      <x:c r="N17" s="60" t="str">
        <x:v>Ca kiểm thử bám đúng đặc tả, có dữ liệu và oracle kiểm tra được. Không cần chỉnh sửa.</x:v>
      </x:c>
      <x:c r="O17" s="60" t="str">
        <x:v>HTTP 400; tất cả assertion đạt.</x:v>
      </x:c>
      <x:c r="P17" s="60" t="str">
        <x:v>PASS</x:v>
      </x:c>
      <x:c r="Q17" s="60" t="str"/>
    </x:row>
    <x:row r="18">
      <x:c r="A18" s="60" t="str">
        <x:v>FR-09-TC-016</x:v>
      </x:c>
      <x:c r="B18" s="60" t="str">
        <x:v>AI</x:v>
      </x:c>
      <x:c r="C18" s="60" t="str">
        <x:v>partition</x:v>
      </x:c>
      <x:c r="D18" s="60" t="str">
        <x:v>total_amount bằng 0</x:v>
      </x:c>
      <x:c r="E18" s="60" t="str">
        <x:v>POST</x:v>
      </x:c>
      <x:c r="F18" s="60" t="str">
        <x:v>/api/apply-coupon</x:v>
      </x:c>
      <x:c r="G18" s="60" t="str">
        <x:v>user</x:v>
      </x:c>
      <x:c r="H18" s="60" t="str">
        <x:v>Backend được reset và seed; baseUrl khả dụng.</x:v>
      </x:c>
      <x:c r="I18" s="60" t="str">
        <x:v>{"code":"SAVE10","total_amount":0,"user_id":2}</x:v>
      </x:c>
      <x:c r="J18" s="61" t="n">
        <x:v>400</x:v>
      </x:c>
      <x:c r="K18" s="60" t="str">
        <x:v>status-and-schema</x:v>
      </x:c>
      <x:c r="L18" s="60" t="str"/>
      <x:c r="M18" s="60" t="str">
        <x:v>VALID</x:v>
      </x:c>
      <x:c r="N18" s="60" t="str">
        <x:v>Ca kiểm thử bám đúng đặc tả, có dữ liệu và oracle kiểm tra được. Không cần chỉnh sửa.</x:v>
      </x:c>
      <x:c r="O18" s="60" t="str">
        <x:v>HTTP 400; tất cả assertion đạt.</x:v>
      </x:c>
      <x:c r="P18" s="60" t="str">
        <x:v>PASS</x:v>
      </x:c>
      <x:c r="Q18" s="60" t="str"/>
    </x:row>
    <x:row r="19">
      <x:c r="A19" s="60" t="str">
        <x:v>FR-09-TC-017</x:v>
      </x:c>
      <x:c r="B19" s="60" t="str">
        <x:v>AI</x:v>
      </x:c>
      <x:c r="C19" s="60" t="str">
        <x:v>partition</x:v>
      </x:c>
      <x:c r="D19" s="60" t="str">
        <x:v>Thiếu total_amount</x:v>
      </x:c>
      <x:c r="E19" s="60" t="str">
        <x:v>POST</x:v>
      </x:c>
      <x:c r="F19" s="60" t="str">
        <x:v>/api/apply-coupon</x:v>
      </x:c>
      <x:c r="G19" s="60" t="str">
        <x:v>user</x:v>
      </x:c>
      <x:c r="H19" s="60" t="str">
        <x:v>Backend được reset và seed; baseUrl khả dụng.</x:v>
      </x:c>
      <x:c r="I19" s="60" t="str">
        <x:v>{"code":"SAVE10","user_id":2}</x:v>
      </x:c>
      <x:c r="J19" s="61" t="n">
        <x:v>400</x:v>
      </x:c>
      <x:c r="K19" s="60" t="str">
        <x:v>status-and-schema</x:v>
      </x:c>
      <x:c r="L19" s="60" t="str"/>
      <x:c r="M19" s="60" t="str">
        <x:v>VALID</x:v>
      </x:c>
      <x:c r="N19" s="60" t="str">
        <x:v>Ca kiểm thử bám đúng đặc tả, có dữ liệu và oracle kiểm tra được. Không cần chỉnh sửa.</x:v>
      </x:c>
      <x:c r="O19" s="60" t="str">
        <x:v>HTTP 400; tất cả assertion đạt.</x:v>
      </x:c>
      <x:c r="P19" s="60" t="str">
        <x:v>PASS</x:v>
      </x:c>
      <x:c r="Q19" s="60" t="str"/>
    </x:row>
    <x:row r="20">
      <x:c r="A20" s="60" t="str">
        <x:v>FR-09-TC-018</x:v>
      </x:c>
      <x:c r="B20" s="60" t="str">
        <x:v>AI</x:v>
      </x:c>
      <x:c r="C20" s="60" t="str">
        <x:v>partition</x:v>
      </x:c>
      <x:c r="D20" s="60" t="str">
        <x:v>total_amount null</x:v>
      </x:c>
      <x:c r="E20" s="60" t="str">
        <x:v>POST</x:v>
      </x:c>
      <x:c r="F20" s="60" t="str">
        <x:v>/api/apply-coupon</x:v>
      </x:c>
      <x:c r="G20" s="60" t="str">
        <x:v>user</x:v>
      </x:c>
      <x:c r="H20" s="60" t="str">
        <x:v>Backend được reset và seed; baseUrl khả dụng.</x:v>
      </x:c>
      <x:c r="I20" s="60" t="str">
        <x:v>{"code":"SAVE10","total_amount":null,"user_id":2}</x:v>
      </x:c>
      <x:c r="J20" s="61" t="n">
        <x:v>400</x:v>
      </x:c>
      <x:c r="K20" s="60" t="str">
        <x:v>status-and-schema</x:v>
      </x:c>
      <x:c r="L20" s="60" t="str"/>
      <x:c r="M20" s="60" t="str">
        <x:v>VALID</x:v>
      </x:c>
      <x:c r="N20" s="60" t="str">
        <x:v>Ca kiểm thử bám đúng đặc tả, có dữ liệu và oracle kiểm tra được. Không cần chỉnh sửa.</x:v>
      </x:c>
      <x:c r="O20" s="60" t="str">
        <x:v>HTTP 400; tất cả assertion đạt.</x:v>
      </x:c>
      <x:c r="P20" s="60" t="str">
        <x:v>PASS</x:v>
      </x:c>
      <x:c r="Q20" s="60" t="str"/>
    </x:row>
    <x:row r="21">
      <x:c r="A21" s="60" t="str">
        <x:v>FR-09-TC-019</x:v>
      </x:c>
      <x:c r="B21" s="60" t="str">
        <x:v>AI</x:v>
      </x:c>
      <x:c r="C21" s="60" t="str">
        <x:v>partition</x:v>
      </x:c>
      <x:c r="D21" s="60" t="str">
        <x:v>total_amount là chuỗi số</x:v>
      </x:c>
      <x:c r="E21" s="60" t="str">
        <x:v>POST</x:v>
      </x:c>
      <x:c r="F21" s="60" t="str">
        <x:v>/api/apply-coupon</x:v>
      </x:c>
      <x:c r="G21" s="60" t="str">
        <x:v>user</x:v>
      </x:c>
      <x:c r="H21" s="60" t="str">
        <x:v>Backend được reset và seed; baseUrl khả dụng.</x:v>
      </x:c>
      <x:c r="I21" s="60" t="str">
        <x:v>{"code":"SAVE10","total_amount":"500000","user_id":2}</x:v>
      </x:c>
      <x:c r="J21" s="61" t="n">
        <x:v>400</x:v>
      </x:c>
      <x:c r="K21" s="60" t="str">
        <x:v>status-and-schema</x:v>
      </x:c>
      <x:c r="L21" s="60" t="str"/>
      <x:c r="M21" s="60" t="str">
        <x:v>VALID</x:v>
      </x:c>
      <x:c r="N21" s="60" t="str">
        <x:v>Ca kiểm thử bám đúng đặc tả, có dữ liệu và oracle kiểm tra được. Không cần chỉnh sửa.</x:v>
      </x:c>
      <x:c r="O21" s="60" t="str">
        <x:v>HTTP 200; 2 assertion lỗi: expected response to have status code 400 but got 200 | expected { success: true, coupon_id: 1, …(3) } to have property 'error'</x:v>
      </x:c>
      <x:c r="P21" s="60" t="str">
        <x:v>FAIL</x:v>
      </x:c>
      <x:c r="Q21" s="60" t="str">
        <x:v>BUG-FR09-04</x:v>
      </x:c>
    </x:row>
    <x:row r="22">
      <x:c r="A22" s="60" t="str">
        <x:v>FR-09-TC-020</x:v>
      </x:c>
      <x:c r="B22" s="60" t="str">
        <x:v>AI</x:v>
      </x:c>
      <x:c r="C22" s="60" t="str">
        <x:v>partition</x:v>
      </x:c>
      <x:c r="D22" s="60" t="str">
        <x:v>total_amount là chuỗi bất kỳ</x:v>
      </x:c>
      <x:c r="E22" s="60" t="str">
        <x:v>POST</x:v>
      </x:c>
      <x:c r="F22" s="60" t="str">
        <x:v>/api/apply-coupon</x:v>
      </x:c>
      <x:c r="G22" s="60" t="str">
        <x:v>user</x:v>
      </x:c>
      <x:c r="H22" s="60" t="str">
        <x:v>Backend được reset và seed; baseUrl khả dụng.</x:v>
      </x:c>
      <x:c r="I22" s="60" t="str">
        <x:v>{"code":"SAVE10","total_amount":"abc","user_id":2}</x:v>
      </x:c>
      <x:c r="J22" s="61" t="n">
        <x:v>400</x:v>
      </x:c>
      <x:c r="K22" s="60" t="str">
        <x:v>status-and-schema</x:v>
      </x:c>
      <x:c r="L22" s="60" t="str"/>
      <x:c r="M22" s="60" t="str">
        <x:v>VALID</x:v>
      </x:c>
      <x:c r="N22" s="60" t="str">
        <x:v>Ca kiểm thử bám đúng đặc tả, có dữ liệu và oracle kiểm tra được. Không cần chỉnh sửa.</x:v>
      </x:c>
      <x:c r="O22" s="60" t="str">
        <x:v>HTTP 400; tất cả assertion đạt.</x:v>
      </x:c>
      <x:c r="P22" s="60" t="str">
        <x:v>PASS</x:v>
      </x:c>
      <x:c r="Q22" s="60" t="str"/>
    </x:row>
    <x:row r="23">
      <x:c r="A23" s="60" t="str">
        <x:v>FR-09-TC-021</x:v>
      </x:c>
      <x:c r="B23" s="60" t="str">
        <x:v>AI</x:v>
      </x:c>
      <x:c r="C23" s="60" t="str">
        <x:v>boundary</x:v>
      </x:c>
      <x:c r="D23" s="60" t="str">
        <x:v>total_amount số thập phân</x:v>
      </x:c>
      <x:c r="E23" s="60" t="str">
        <x:v>POST</x:v>
      </x:c>
      <x:c r="F23" s="60" t="str">
        <x:v>/api/apply-coupon</x:v>
      </x:c>
      <x:c r="G23" s="60" t="str">
        <x:v>user</x:v>
      </x:c>
      <x:c r="H23" s="60" t="str">
        <x:v>Backend được reset và seed; baseUrl khả dụng.</x:v>
      </x:c>
      <x:c r="I23" s="60" t="str">
        <x:v>{"code":"SAVE10","total_amount":500000.5,"user_id":2}</x:v>
      </x:c>
      <x:c r="J23" s="61" t="n">
        <x:v>400</x:v>
      </x:c>
      <x:c r="K23" s="60" t="str">
        <x:v>status-and-schema</x:v>
      </x:c>
      <x:c r="L23" s="60" t="str"/>
      <x:c r="M23" s="60" t="str">
        <x:v>INCOMPLETE</x:v>
      </x:c>
      <x:c r="N23" s="60" t="str">
        <x:v>Bản AI ban đầu thiếu assertion schema hoặc hậu điều kiện có thể quan sát. Đã bổ sung expected keys và assertion nghiệp vụ tương ứng.</x:v>
      </x:c>
      <x:c r="O23" s="60" t="str">
        <x:v>HTTP 200; 2 assertion lỗi: expected response to have status code 400 but got 200 | expected { success: true, coupon_id: 1, …(3) } to have property 'error'</x:v>
      </x:c>
      <x:c r="P23" s="60" t="str">
        <x:v>FAIL</x:v>
      </x:c>
      <x:c r="Q23" s="60" t="str">
        <x:v>BUG-FR09-04</x:v>
      </x:c>
    </x:row>
    <x:row r="24">
      <x:c r="A24" s="60" t="str">
        <x:v>FR-09-TC-022</x:v>
      </x:c>
      <x:c r="B24" s="60" t="str">
        <x:v>AI</x:v>
      </x:c>
      <x:c r="C24" s="60" t="str">
        <x:v>boundary</x:v>
      </x:c>
      <x:c r="D24" s="60" t="str">
        <x:v>total_amount rất lớn</x:v>
      </x:c>
      <x:c r="E24" s="60" t="str">
        <x:v>POST</x:v>
      </x:c>
      <x:c r="F24" s="60" t="str">
        <x:v>/api/apply-coupon</x:v>
      </x:c>
      <x:c r="G24" s="60" t="str">
        <x:v>user</x:v>
      </x:c>
      <x:c r="H24" s="60" t="str">
        <x:v>Backend được reset và seed; baseUrl khả dụng.</x:v>
      </x:c>
      <x:c r="I24" s="60" t="str">
        <x:v>{"code":"BIGBUY","total_amount":9007199254740991,"user_id":2}</x:v>
      </x:c>
      <x:c r="J24" s="61" t="n">
        <x:v>200</x:v>
      </x:c>
      <x:c r="K24" s="60" t="str">
        <x:v>fixed-formula</x:v>
      </x:c>
      <x:c r="L24" s="60" t="str"/>
      <x:c r="M24" s="60" t="str">
        <x:v>INVALID</x:v>
      </x:c>
      <x:c r="N24" s="60" t="str">
        <x:v>Bản AI ban đầu suy đoán oracle theo hành vi phổ biến thay vì truy vết SRS. Đã thay oracle bằng status/ràng buộc trong SRS và bổ sung liên kết FR/SEC.</x:v>
      </x:c>
      <x:c r="O24" s="60" t="str">
        <x:v>HTTP 200; tất cả assertion đạt.</x:v>
      </x:c>
      <x:c r="P24" s="60" t="str">
        <x:v>PASS</x:v>
      </x:c>
      <x:c r="Q24" s="60" t="str"/>
    </x:row>
    <x:row r="25">
      <x:c r="A25" s="60" t="str">
        <x:v>FR-09-TC-023</x:v>
      </x:c>
      <x:c r="B25" s="60" t="str">
        <x:v>AI</x:v>
      </x:c>
      <x:c r="C25" s="60" t="str">
        <x:v>security</x:v>
      </x:c>
      <x:c r="D25" s="60" t="str">
        <x:v>Thiếu JWT bị từ chối</x:v>
      </x:c>
      <x:c r="E25" s="60" t="str">
        <x:v>POST</x:v>
      </x:c>
      <x:c r="F25" s="60" t="str">
        <x:v>/api/apply-coupon</x:v>
      </x:c>
      <x:c r="G25" s="60" t="str">
        <x:v>none</x:v>
      </x:c>
      <x:c r="H25" s="60" t="str">
        <x:v>Backend được reset và seed; baseUrl khả dụng.</x:v>
      </x:c>
      <x:c r="I25" s="60" t="str">
        <x:v>{"code":"SAVE10","total_amount":500000,"user_id":2}</x:v>
      </x:c>
      <x:c r="J25" s="61" t="n">
        <x:v>401</x:v>
      </x:c>
      <x:c r="K25" s="60" t="str">
        <x:v>status-and-schema</x:v>
      </x:c>
      <x:c r="L25" s="60" t="str">
        <x:v>SEC-02</x:v>
      </x:c>
      <x:c r="M25" s="60" t="str">
        <x:v>VALID</x:v>
      </x:c>
      <x:c r="N25" s="60" t="str">
        <x:v>Ca kiểm thử bám đúng đặc tả, có dữ liệu và oracle kiểm tra được. Không cần chỉnh sửa.</x:v>
      </x:c>
      <x:c r="O25" s="60" t="str">
        <x:v>HTTP 200; 2 assertion lỗi: expected response to have status code 401 but got 200 | expected { success: true, coupon_id: 1, …(3) } to have property 'error'</x:v>
      </x:c>
      <x:c r="P25" s="60" t="str">
        <x:v>FAIL</x:v>
      </x:c>
      <x:c r="Q25" s="60" t="str">
        <x:v>BUG-FR09-03</x:v>
      </x:c>
    </x:row>
    <x:row r="26">
      <x:c r="A26" s="60" t="str">
        <x:v>FR-09-TC-024</x:v>
      </x:c>
      <x:c r="B26" s="60" t="str">
        <x:v>AI</x:v>
      </x:c>
      <x:c r="C26" s="60" t="str">
        <x:v>security</x:v>
      </x:c>
      <x:c r="D26" s="60" t="str">
        <x:v>JWT không hợp lệ bị từ chối</x:v>
      </x:c>
      <x:c r="E26" s="60" t="str">
        <x:v>POST</x:v>
      </x:c>
      <x:c r="F26" s="60" t="str">
        <x:v>/api/apply-coupon</x:v>
      </x:c>
      <x:c r="G26" s="60" t="str">
        <x:v>invalid</x:v>
      </x:c>
      <x:c r="H26" s="60" t="str">
        <x:v>Backend được reset và seed; baseUrl khả dụng.</x:v>
      </x:c>
      <x:c r="I26" s="60" t="str">
        <x:v>{"code":"SAVE10","total_amount":500000,"user_id":2}</x:v>
      </x:c>
      <x:c r="J26" s="61" t="n">
        <x:v>403</x:v>
      </x:c>
      <x:c r="K26" s="60" t="str">
        <x:v>status-and-schema</x:v>
      </x:c>
      <x:c r="L26" s="60" t="str">
        <x:v>SEC-02</x:v>
      </x:c>
      <x:c r="M26" s="60" t="str">
        <x:v>VALID</x:v>
      </x:c>
      <x:c r="N26" s="60" t="str">
        <x:v>Ca kiểm thử bám đúng đặc tả, có dữ liệu và oracle kiểm tra được. Không cần chỉnh sửa.</x:v>
      </x:c>
      <x:c r="O26" s="60" t="str">
        <x:v>HTTP 200; 2 assertion lỗi: expected response to have status code 403 but got 200 | expected { success: true, coupon_id: 1, …(3) } to have property 'error'</x:v>
      </x:c>
      <x:c r="P26" s="60" t="str">
        <x:v>FAIL</x:v>
      </x:c>
      <x:c r="Q26" s="60" t="str">
        <x:v>BUG-FR09-03</x:v>
      </x:c>
    </x:row>
    <x:row r="27">
      <x:c r="A27" s="60" t="str">
        <x:v>FR-09-TC-025</x:v>
      </x:c>
      <x:c r="B27" s="60" t="str">
        <x:v>AI</x:v>
      </x:c>
      <x:c r="C27" s="60" t="str">
        <x:v>security</x:v>
      </x:c>
      <x:c r="D27" s="60" t="str">
        <x:v>JWT user hợp lệ được chấp nhận</x:v>
      </x:c>
      <x:c r="E27" s="60" t="str">
        <x:v>POST</x:v>
      </x:c>
      <x:c r="F27" s="60" t="str">
        <x:v>/api/apply-coupon</x:v>
      </x:c>
      <x:c r="G27" s="60" t="str">
        <x:v>user</x:v>
      </x:c>
      <x:c r="H27" s="60" t="str">
        <x:v>Backend được reset và seed; baseUrl khả dụng.</x:v>
      </x:c>
      <x:c r="I27" s="60" t="str">
        <x:v>{"code":"BIGBUY","total_amount":600000,"user_id":2}</x:v>
      </x:c>
      <x:c r="J27" s="61" t="n">
        <x:v>200</x:v>
      </x:c>
      <x:c r="K27" s="60" t="str">
        <x:v>fixed-formula</x:v>
      </x:c>
      <x:c r="L27" s="60" t="str">
        <x:v>SEC-02</x:v>
      </x:c>
      <x:c r="M27" s="60" t="str">
        <x:v>VALID</x:v>
      </x:c>
      <x:c r="N27" s="60" t="str">
        <x:v>Ca kiểm thử bám đúng đặc tả, có dữ liệu và oracle kiểm tra được. Không cần chỉnh sửa.</x:v>
      </x:c>
      <x:c r="O27" s="60" t="str">
        <x:v>HTTP 200; tất cả assertion đạt.</x:v>
      </x:c>
      <x:c r="P27" s="60" t="str">
        <x:v>PASS</x:v>
      </x:c>
      <x:c r="Q27" s="60" t="str"/>
    </x:row>
    <x:row r="28">
      <x:c r="A28" s="60" t="str">
        <x:v>FR-09-TC-026</x:v>
      </x:c>
      <x:c r="B28" s="60" t="str">
        <x:v>AI</x:v>
      </x:c>
      <x:c r="C28" s="60" t="str">
        <x:v>partition</x:v>
      </x:c>
      <x:c r="D28" s="60" t="str">
        <x:v>Thiếu user_id khi đã đăng nhập</x:v>
      </x:c>
      <x:c r="E28" s="60" t="str">
        <x:v>POST</x:v>
      </x:c>
      <x:c r="F28" s="60" t="str">
        <x:v>/api/apply-coupon</x:v>
      </x:c>
      <x:c r="G28" s="60" t="str">
        <x:v>user</x:v>
      </x:c>
      <x:c r="H28" s="60" t="str">
        <x:v>Backend được reset và seed; baseUrl khả dụng.</x:v>
      </x:c>
      <x:c r="I28" s="60" t="str">
        <x:v>{"code":"BIGBUY","total_amount":600000}</x:v>
      </x:c>
      <x:c r="J28" s="61" t="n">
        <x:v>200</x:v>
      </x:c>
      <x:c r="K28" s="60" t="str">
        <x:v>identity-from-token</x:v>
      </x:c>
      <x:c r="L28" s="60" t="str">
        <x:v>SEC-02</x:v>
      </x:c>
      <x:c r="M28" s="60" t="str">
        <x:v>VALID</x:v>
      </x:c>
      <x:c r="N28" s="60" t="str">
        <x:v>Ca kiểm thử bám đúng đặc tả, có dữ liệu và oracle kiểm tra được. Không cần chỉnh sửa.</x:v>
      </x:c>
      <x:c r="O28" s="60" t="str">
        <x:v>HTTP 200; tất cả assertion đạt.</x:v>
      </x:c>
      <x:c r="P28" s="60" t="str">
        <x:v>PASS</x:v>
      </x:c>
      <x:c r="Q28" s="60" t="str"/>
    </x:row>
    <x:row r="29">
      <x:c r="A29" s="60" t="str">
        <x:v>FR-09-TC-027</x:v>
      </x:c>
      <x:c r="B29" s="60" t="str">
        <x:v>AI</x:v>
      </x:c>
      <x:c r="C29" s="60" t="str">
        <x:v>security</x:v>
      </x:c>
      <x:c r="D29" s="60" t="str">
        <x:v>user_id của người khác bị bỏ qua</x:v>
      </x:c>
      <x:c r="E29" s="60" t="str">
        <x:v>POST</x:v>
      </x:c>
      <x:c r="F29" s="60" t="str">
        <x:v>/api/apply-coupon</x:v>
      </x:c>
      <x:c r="G29" s="60" t="str">
        <x:v>user</x:v>
      </x:c>
      <x:c r="H29" s="60" t="str">
        <x:v>Backend được reset và seed; baseUrl khả dụng.</x:v>
      </x:c>
      <x:c r="I29" s="60" t="str">
        <x:v>{"code":"BIGBUY","total_amount":600000,"user_id":1}</x:v>
      </x:c>
      <x:c r="J29" s="61" t="n">
        <x:v>200</x:v>
      </x:c>
      <x:c r="K29" s="60" t="str">
        <x:v>identity-from-token</x:v>
      </x:c>
      <x:c r="L29" s="60" t="str">
        <x:v>SEC-02</x:v>
      </x:c>
      <x:c r="M29" s="60" t="str">
        <x:v>VALID</x:v>
      </x:c>
      <x:c r="N29" s="60" t="str">
        <x:v>Ca kiểm thử bám đúng đặc tả, có dữ liệu và oracle kiểm tra được. Không cần chỉnh sửa.</x:v>
      </x:c>
      <x:c r="O29" s="60" t="str">
        <x:v>HTTP 200; tất cả assertion đạt.</x:v>
      </x:c>
      <x:c r="P29" s="60" t="str">
        <x:v>PASS</x:v>
      </x:c>
      <x:c r="Q29" s="60" t="str"/>
    </x:row>
    <x:row r="30">
      <x:c r="A30" s="60" t="str">
        <x:v>FR-09-TC-028</x:v>
      </x:c>
      <x:c r="B30" s="60" t="str">
        <x:v>AI</x:v>
      </x:c>
      <x:c r="C30" s="60" t="str">
        <x:v>partition</x:v>
      </x:c>
      <x:c r="D30" s="60" t="str">
        <x:v>user_id dạng chuỗi bị từ chối</x:v>
      </x:c>
      <x:c r="E30" s="60" t="str">
        <x:v>POST</x:v>
      </x:c>
      <x:c r="F30" s="60" t="str">
        <x:v>/api/apply-coupon</x:v>
      </x:c>
      <x:c r="G30" s="60" t="str">
        <x:v>user</x:v>
      </x:c>
      <x:c r="H30" s="60" t="str">
        <x:v>Backend được reset và seed; baseUrl khả dụng.</x:v>
      </x:c>
      <x:c r="I30" s="60" t="str">
        <x:v>{"code":"BIGBUY","total_amount":600000,"user_id":"2"}</x:v>
      </x:c>
      <x:c r="J30" s="61" t="n">
        <x:v>400</x:v>
      </x:c>
      <x:c r="K30" s="60" t="str">
        <x:v>status-and-schema</x:v>
      </x:c>
      <x:c r="L30" s="60" t="str"/>
      <x:c r="M30" s="60" t="str">
        <x:v>INCOMPLETE</x:v>
      </x:c>
      <x:c r="N30" s="60" t="str">
        <x:v>Bản AI ban đầu thiếu assertion schema hoặc hậu điều kiện có thể quan sát. Đã bổ sung expected keys và assertion nghiệp vụ tương ứng.</x:v>
      </x:c>
      <x:c r="O30" s="60" t="str">
        <x:v>HTTP 200; 2 assertion lỗi: expected response to have status code 400 but got 200 | expected { success: true, coupon_id: 2, …(3) } to have property 'error'</x:v>
      </x:c>
      <x:c r="P30" s="60" t="str">
        <x:v>FAIL</x:v>
      </x:c>
      <x:c r="Q30" s="60" t="str">
        <x:v>BUG-FR09-04</x:v>
      </x:c>
    </x:row>
    <x:row r="31">
      <x:c r="A31" s="60" t="str">
        <x:v>FR-09-TC-029</x:v>
      </x:c>
      <x:c r="B31" s="60" t="str">
        <x:v>AI</x:v>
      </x:c>
      <x:c r="C31" s="60" t="str">
        <x:v>partition</x:v>
      </x:c>
      <x:c r="D31" s="60" t="str">
        <x:v>user_id không tồn tại bị từ chối</x:v>
      </x:c>
      <x:c r="E31" s="60" t="str">
        <x:v>POST</x:v>
      </x:c>
      <x:c r="F31" s="60" t="str">
        <x:v>/api/apply-coupon</x:v>
      </x:c>
      <x:c r="G31" s="60" t="str">
        <x:v>user</x:v>
      </x:c>
      <x:c r="H31" s="60" t="str">
        <x:v>Backend được reset và seed; baseUrl khả dụng.</x:v>
      </x:c>
      <x:c r="I31" s="60" t="str">
        <x:v>{"code":"BIGBUY","total_amount":600000,"user_id":999999}</x:v>
      </x:c>
      <x:c r="J31" s="61" t="n">
        <x:v>400</x:v>
      </x:c>
      <x:c r="K31" s="60" t="str">
        <x:v>status-and-schema</x:v>
      </x:c>
      <x:c r="L31" s="60" t="str"/>
      <x:c r="M31" s="60" t="str">
        <x:v>VALID</x:v>
      </x:c>
      <x:c r="N31" s="60" t="str">
        <x:v>Ca kiểm thử bám đúng đặc tả, có dữ liệu và oracle kiểm tra được. Không cần chỉnh sửa.</x:v>
      </x:c>
      <x:c r="O31" s="60" t="str">
        <x:v>HTTP 200; 2 assertion lỗi: expected response to have status code 400 but got 200 | expected { success: true, coupon_id: 2, …(3) } to have property 'error'</x:v>
      </x:c>
      <x:c r="P31" s="60" t="str">
        <x:v>FAIL</x:v>
      </x:c>
      <x:c r="Q31" s="60" t="str">
        <x:v>BUG-FR09-04</x:v>
      </x:c>
    </x:row>
    <x:row r="32">
      <x:c r="A32" s="60" t="str">
        <x:v>FR-09-TC-030</x:v>
      </x:c>
      <x:c r="B32" s="60" t="str">
        <x:v>AI</x:v>
      </x:c>
      <x:c r="C32" s="60" t="str">
        <x:v>state</x:v>
      </x:c>
      <x:c r="D32" s="60" t="str">
        <x:v>SAVE10 đã dùng hết lượt bị từ chối</x:v>
      </x:c>
      <x:c r="E32" s="60" t="str">
        <x:v>POST</x:v>
      </x:c>
      <x:c r="F32" s="60" t="str">
        <x:v>/api/apply-coupon</x:v>
      </x:c>
      <x:c r="G32" s="60" t="str">
        <x:v>user</x:v>
      </x:c>
      <x:c r="H32" s="60" t="str">
        <x:v>Backend được reset và seed; baseUrl khả dụng.</x:v>
      </x:c>
      <x:c r="I32" s="60" t="str">
        <x:v>{"code":"SAVE10","total_amount":500000,"user_id":2}</x:v>
      </x:c>
      <x:c r="J32" s="61" t="n">
        <x:v>400</x:v>
      </x:c>
      <x:c r="K32" s="60" t="str">
        <x:v>status-and-schema</x:v>
      </x:c>
      <x:c r="L32" s="60" t="str"/>
      <x:c r="M32" s="60" t="str">
        <x:v>VALID</x:v>
      </x:c>
      <x:c r="N32" s="60" t="str">
        <x:v>Ca kiểm thử bám đúng đặc tả, có dữ liệu và oracle kiểm tra được. Không cần chỉnh sửa.</x:v>
      </x:c>
      <x:c r="O32" s="60" t="str">
        <x:v>HTTP 400; tất cả assertion đạt.</x:v>
      </x:c>
      <x:c r="P32" s="60" t="str">
        <x:v>PASS</x:v>
      </x:c>
      <x:c r="Q32" s="60" t="str"/>
    </x:row>
    <x:row r="33">
      <x:c r="A33" s="60" t="str">
        <x:v>FR-09-TC-031</x:v>
      </x:c>
      <x:c r="B33" s="60" t="str">
        <x:v>AI</x:v>
      </x:c>
      <x:c r="C33" s="60" t="str">
        <x:v>state</x:v>
      </x:c>
      <x:c r="D33" s="60" t="str">
        <x:v>VIP100 còn lượt thứ hai</x:v>
      </x:c>
      <x:c r="E33" s="60" t="str">
        <x:v>POST</x:v>
      </x:c>
      <x:c r="F33" s="60" t="str">
        <x:v>/api/apply-coupon</x:v>
      </x:c>
      <x:c r="G33" s="60" t="str">
        <x:v>user</x:v>
      </x:c>
      <x:c r="H33" s="60" t="str">
        <x:v>Backend được reset và seed; baseUrl khả dụng.</x:v>
      </x:c>
      <x:c r="I33" s="60" t="str">
        <x:v>{"code":"VIP100","total_amount":500000,"user_id":2}</x:v>
      </x:c>
      <x:c r="J33" s="61" t="n">
        <x:v>200</x:v>
      </x:c>
      <x:c r="K33" s="60" t="str">
        <x:v>fixed-formula</x:v>
      </x:c>
      <x:c r="L33" s="60" t="str"/>
      <x:c r="M33" s="60" t="str">
        <x:v>VALID</x:v>
      </x:c>
      <x:c r="N33" s="60" t="str">
        <x:v>Ca kiểm thử bám đúng đặc tả, có dữ liệu và oracle kiểm tra được. Không cần chỉnh sửa.</x:v>
      </x:c>
      <x:c r="O33" s="60" t="str">
        <x:v>HTTP 200; tất cả assertion đạt.</x:v>
      </x:c>
      <x:c r="P33" s="60" t="str">
        <x:v>PASS</x:v>
      </x:c>
      <x:c r="Q33" s="60" t="str"/>
    </x:row>
    <x:row r="34">
      <x:c r="A34" s="60" t="str">
        <x:v>FR-09-TC-032</x:v>
      </x:c>
      <x:c r="B34" s="60" t="str">
        <x:v>AI</x:v>
      </x:c>
      <x:c r="C34" s="60" t="str">
        <x:v>state</x:v>
      </x:c>
      <x:c r="D34" s="60" t="str">
        <x:v>VIP100 hết hai lượt</x:v>
      </x:c>
      <x:c r="E34" s="60" t="str">
        <x:v>POST</x:v>
      </x:c>
      <x:c r="F34" s="60" t="str">
        <x:v>/api/apply-coupon</x:v>
      </x:c>
      <x:c r="G34" s="60" t="str">
        <x:v>user</x:v>
      </x:c>
      <x:c r="H34" s="60" t="str">
        <x:v>Backend được reset và seed; baseUrl khả dụng.</x:v>
      </x:c>
      <x:c r="I34" s="60" t="str">
        <x:v>{"code":"VIP100","total_amount":500000,"user_id":2}</x:v>
      </x:c>
      <x:c r="J34" s="61" t="n">
        <x:v>400</x:v>
      </x:c>
      <x:c r="K34" s="60" t="str">
        <x:v>status-and-schema</x:v>
      </x:c>
      <x:c r="L34" s="60" t="str"/>
      <x:c r="M34" s="60" t="str">
        <x:v>VALID</x:v>
      </x:c>
      <x:c r="N34" s="60" t="str">
        <x:v>Ca kiểm thử bám đúng đặc tả, có dữ liệu và oracle kiểm tra được. Không cần chỉnh sửa.</x:v>
      </x:c>
      <x:c r="O34" s="60" t="str">
        <x:v>HTTP 400; tất cả assertion đạt.</x:v>
      </x:c>
      <x:c r="P34" s="60" t="str">
        <x:v>PASS</x:v>
      </x:c>
      <x:c r="Q34" s="60" t="str"/>
    </x:row>
    <x:row r="35">
      <x:c r="A35" s="60" t="str">
        <x:v>FR-09-TC-033</x:v>
      </x:c>
      <x:c r="B35" s="60" t="str">
        <x:v>AI</x:v>
      </x:c>
      <x:c r="C35" s="60" t="str">
        <x:v>schema</x:v>
      </x:c>
      <x:c r="D35" s="60" t="str">
        <x:v>Response thành công dùng đúng kiểu dữ liệu</x:v>
      </x:c>
      <x:c r="E35" s="60" t="str">
        <x:v>POST</x:v>
      </x:c>
      <x:c r="F35" s="60" t="str">
        <x:v>/api/apply-coupon</x:v>
      </x:c>
      <x:c r="G35" s="60" t="str">
        <x:v>user</x:v>
      </x:c>
      <x:c r="H35" s="60" t="str">
        <x:v>Backend được reset và seed; baseUrl khả dụng.</x:v>
      </x:c>
      <x:c r="I35" s="60" t="str">
        <x:v>{"code":"BIGBUY","total_amount":600000,"user_id":2}</x:v>
      </x:c>
      <x:c r="J35" s="61" t="n">
        <x:v>200</x:v>
      </x:c>
      <x:c r="K35" s="60" t="str">
        <x:v>success-types</x:v>
      </x:c>
      <x:c r="L35" s="60" t="str"/>
      <x:c r="M35" s="60" t="str">
        <x:v>INVALID</x:v>
      </x:c>
      <x:c r="N35" s="60" t="str">
        <x:v>Bản AI ban đầu suy đoán oracle theo hành vi phổ biến thay vì truy vết SRS. Đã thay oracle bằng status/ràng buộc trong SRS và bổ sung liên kết FR/SEC.</x:v>
      </x:c>
      <x:c r="O35" s="60" t="str">
        <x:v>HTTP 200; tất cả assertion đạt.</x:v>
      </x:c>
      <x:c r="P35" s="60" t="str">
        <x:v>PASS</x:v>
      </x:c>
      <x:c r="Q35" s="60" t="str"/>
    </x:row>
    <x:row r="36">
      <x:c r="A36" s="60" t="str">
        <x:v>FR-09-TC-034</x:v>
      </x:c>
      <x:c r="B36" s="60" t="str">
        <x:v>AI</x:v>
      </x:c>
      <x:c r="C36" s="60" t="str">
        <x:v>schema</x:v>
      </x:c>
      <x:c r="D36" s="60" t="str">
        <x:v>Response lỗi có trường error</x:v>
      </x:c>
      <x:c r="E36" s="60" t="str">
        <x:v>POST</x:v>
      </x:c>
      <x:c r="F36" s="60" t="str">
        <x:v>/api/apply-coupon</x:v>
      </x:c>
      <x:c r="G36" s="60" t="str">
        <x:v>user</x:v>
      </x:c>
      <x:c r="H36" s="60" t="str">
        <x:v>Backend được reset và seed; baseUrl khả dụng.</x:v>
      </x:c>
      <x:c r="I36" s="60" t="str">
        <x:v>{"code":"MISSING","total_amount":600000,"user_id":2}</x:v>
      </x:c>
      <x:c r="J36" s="61" t="n">
        <x:v>404</x:v>
      </x:c>
      <x:c r="K36" s="60" t="str">
        <x:v>status-and-schema</x:v>
      </x:c>
      <x:c r="L36" s="60" t="str"/>
      <x:c r="M36" s="60" t="str">
        <x:v>VALID</x:v>
      </x:c>
      <x:c r="N36" s="60" t="str">
        <x:v>Ca kiểm thử bám đúng đặc tả, có dữ liệu và oracle kiểm tra được. Không cần chỉnh sửa.</x:v>
      </x:c>
      <x:c r="O36" s="60" t="str">
        <x:v>HTTP 404; tất cả assertion đạt.</x:v>
      </x:c>
      <x:c r="P36" s="60" t="str">
        <x:v>PASS</x:v>
      </x:c>
      <x:c r="Q36" s="60" t="str"/>
    </x:row>
    <x:row r="37">
      <x:c r="A37" s="60" t="str">
        <x:v>FR-09-TC-035</x:v>
      </x:c>
      <x:c r="B37" s="60" t="str">
        <x:v>AI</x:v>
      </x:c>
      <x:c r="C37" s="60" t="str">
        <x:v>security</x:v>
      </x:c>
      <x:c r="D37" s="60" t="str">
        <x:v>Prototype-shaped code không gây lỗi máy chủ</x:v>
      </x:c>
      <x:c r="E37" s="60" t="str">
        <x:v>POST</x:v>
      </x:c>
      <x:c r="F37" s="60" t="str">
        <x:v>/api/apply-coupon</x:v>
      </x:c>
      <x:c r="G37" s="60" t="str">
        <x:v>user</x:v>
      </x:c>
      <x:c r="H37" s="60" t="str">
        <x:v>Backend được reset và seed; baseUrl khả dụng.</x:v>
      </x:c>
      <x:c r="I37" s="60" t="str">
        <x:v>{"code":"__proto__","total_amount":600000,"user_id":2}</x:v>
      </x:c>
      <x:c r="J37" s="61" t="n">
        <x:v>404</x:v>
      </x:c>
      <x:c r="K37" s="60" t="str">
        <x:v>status-and-schema</x:v>
      </x:c>
      <x:c r="L37" s="60" t="str"/>
      <x:c r="M37" s="60" t="str">
        <x:v>INCOMPLETE</x:v>
      </x:c>
      <x:c r="N37" s="60" t="str">
        <x:v>Bản AI ban đầu thiếu assertion schema hoặc hậu điều kiện có thể quan sát. Đã bổ sung expected keys và assertion nghiệp vụ tương ứng.</x:v>
      </x:c>
      <x:c r="O37" s="60" t="str">
        <x:v>HTTP 404; tất cả assertion đạt.</x:v>
      </x:c>
      <x:c r="P37" s="60" t="str">
        <x:v>PASS</x:v>
      </x:c>
      <x:c r="Q37" s="60" t="str"/>
    </x:row>
    <x:row r="38">
      <x:c r="A38" s="60" t="str">
        <x:v>FR-09-TC-036</x:v>
      </x:c>
      <x:c r="B38" s="60" t="str">
        <x:v>HUMAN</x:v>
      </x:c>
      <x:c r="C38" s="60" t="str">
        <x:v>concurrency</x:v>
      </x:c>
      <x:c r="D38" s="60" t="str">
        <x:v>Hai request đồng thời không vượt max_uses_per_user</x:v>
      </x:c>
      <x:c r="E38" s="60" t="str">
        <x:v>POST</x:v>
      </x:c>
      <x:c r="F38" s="60" t="str">
        <x:v>/api/apply-coupon</x:v>
      </x:c>
      <x:c r="G38" s="60" t="str">
        <x:v>user</x:v>
      </x:c>
      <x:c r="H38" s="60" t="str">
        <x:v>Backend được reset và seed; baseUrl khả dụng.</x:v>
      </x:c>
      <x:c r="I38" s="60" t="str">
        <x:v>{"code":"SAVE10","total_amount":500000,"user_id":2}</x:v>
      </x:c>
      <x:c r="J38" s="61" t="n">
        <x:v>400</x:v>
      </x:c>
      <x:c r="K38" s="60" t="str">
        <x:v>concurrent-usage</x:v>
      </x:c>
      <x:c r="L38" s="60" t="str">
        <x:v>SEC-02</x:v>
      </x:c>
      <x:c r="M38" s="60" t="str">
        <x:v>N/A</x:v>
      </x:c>
      <x:c r="N38" s="60" t="str">
        <x:v>Ca kiểm thử do sinh viên bổ sung sau audit. Không áp dụng.</x:v>
      </x:c>
      <x:c r="O38" s="60" t="str">
        <x:v>HTTP 400; tất cả assertion đạt.</x:v>
      </x:c>
      <x:c r="P38" s="60" t="str">
        <x:v>PASS</x:v>
      </x:c>
      <x:c r="Q38" s="60" t="str"/>
    </x:row>
    <x:row r="39">
      <x:c r="A39" s="60" t="str">
        <x:v>FR-09-TC-037</x:v>
      </x:c>
      <x:c r="B39" s="60" t="str">
        <x:v>HUMAN</x:v>
      </x:c>
      <x:c r="C39" s="60" t="str">
        <x:v>boundary</x:v>
      </x:c>
      <x:c r="D39" s="60" t="str">
        <x:v>Fixed discount lớn hơn tổng tiền không tạo final âm</x:v>
      </x:c>
      <x:c r="E39" s="60" t="str">
        <x:v>POST</x:v>
      </x:c>
      <x:c r="F39" s="60" t="str">
        <x:v>/api/apply-coupon</x:v>
      </x:c>
      <x:c r="G39" s="60" t="str">
        <x:v>user</x:v>
      </x:c>
      <x:c r="H39" s="60" t="str">
        <x:v>Backend được reset và seed; baseUrl khả dụng.</x:v>
      </x:c>
      <x:c r="I39" s="60" t="str">
        <x:v>{"code":"VIP100","total_amount":50000,"user_id":2}</x:v>
      </x:c>
      <x:c r="J39" s="61" t="n">
        <x:v>400</x:v>
      </x:c>
      <x:c r="K39" s="60" t="str">
        <x:v>nonnegative-final</x:v>
      </x:c>
      <x:c r="L39" s="60" t="str"/>
      <x:c r="M39" s="60" t="str">
        <x:v>N/A</x:v>
      </x:c>
      <x:c r="N39" s="60" t="str">
        <x:v>Ca kiểm thử do sinh viên bổ sung sau audit. Không áp dụng.</x:v>
      </x:c>
      <x:c r="O39" s="60" t="str">
        <x:v>HTTP 400; tất cả assertion đạt.</x:v>
      </x:c>
      <x:c r="P39" s="60" t="str">
        <x:v>PASS</x:v>
      </x:c>
      <x:c r="Q39" s="60" t="str"/>
    </x:row>
    <x:row r="40">
      <x:c r="A40" s="60" t="str">
        <x:v>FR-09-TC-038</x:v>
      </x:c>
      <x:c r="B40" s="60" t="str">
        <x:v>HUMAN</x:v>
      </x:c>
      <x:c r="C40" s="60" t="str">
        <x:v>security</x:v>
      </x:c>
      <x:c r="D40" s="60" t="str">
        <x:v>Client giả mạo user_id không chiếm lượt của nạn nhân</x:v>
      </x:c>
      <x:c r="E40" s="60" t="str">
        <x:v>POST</x:v>
      </x:c>
      <x:c r="F40" s="60" t="str">
        <x:v>/api/apply-coupon</x:v>
      </x:c>
      <x:c r="G40" s="60" t="str">
        <x:v>user</x:v>
      </x:c>
      <x:c r="H40" s="60" t="str">
        <x:v>Backend được reset và seed; baseUrl khả dụng.</x:v>
      </x:c>
      <x:c r="I40" s="60" t="str">
        <x:v>{"code":"VIP100","total_amount":500000,"user_id":1}</x:v>
      </x:c>
      <x:c r="J40" s="61" t="n">
        <x:v>200</x:v>
      </x:c>
      <x:c r="K40" s="60" t="str">
        <x:v>identity-from-token</x:v>
      </x:c>
      <x:c r="L40" s="60" t="str">
        <x:v>SEC-02</x:v>
      </x:c>
      <x:c r="M40" s="60" t="str">
        <x:v>N/A</x:v>
      </x:c>
      <x:c r="N40" s="60" t="str">
        <x:v>Ca kiểm thử do sinh viên bổ sung sau audit. Không áp dụng.</x:v>
      </x:c>
      <x:c r="O40" s="60" t="str">
        <x:v>HTTP 200; tất cả assertion đạt.</x:v>
      </x:c>
      <x:c r="P40" s="60" t="str">
        <x:v>PASS</x:v>
      </x:c>
      <x:c r="Q40" s="60" t="str"/>
    </x:row>
    <x:row r="41">
      <x:c r="A41" s="60" t="str">
        <x:v>FR-09-TC-039</x:v>
      </x:c>
      <x:c r="B41" s="60" t="str">
        <x:v>HUMAN</x:v>
      </x:c>
      <x:c r="C41" s="60" t="str">
        <x:v>state</x:v>
      </x:c>
      <x:c r="D41" s="60" t="str">
        <x:v>Ghi nhận coupon usage bắt buộc đúng danh tính JWT</x:v>
      </x:c>
      <x:c r="E41" s="60" t="str">
        <x:v>POST</x:v>
      </x:c>
      <x:c r="F41" s="60" t="str">
        <x:v>/api/coupon-usage</x:v>
      </x:c>
      <x:c r="G41" s="60" t="str">
        <x:v>user</x:v>
      </x:c>
      <x:c r="H41" s="60" t="str">
        <x:v>Backend được reset và seed; baseUrl khả dụng.</x:v>
      </x:c>
      <x:c r="I41" s="60" t="str">
        <x:v>{"coupon_id":1}</x:v>
      </x:c>
      <x:c r="J41" s="61" t="n">
        <x:v>200</x:v>
      </x:c>
      <x:c r="K41" s="60" t="str">
        <x:v>status-and-schema</x:v>
      </x:c>
      <x:c r="L41" s="60" t="str">
        <x:v>SEC-02</x:v>
      </x:c>
      <x:c r="M41" s="60" t="str">
        <x:v>N/A</x:v>
      </x:c>
      <x:c r="N41" s="60" t="str">
        <x:v>Ca kiểm thử do sinh viên bổ sung sau audit. Không áp dụng.</x:v>
      </x:c>
      <x:c r="O41" s="60" t="str">
        <x:v>HTTP 200; tất cả assertion đạt.</x:v>
      </x:c>
      <x:c r="P41" s="60" t="str">
        <x:v>PASS</x:v>
      </x:c>
      <x:c r="Q41" s="60" t="str"/>
    </x:row>
    <x:row r="42">
      <x:c r="A42" s="60" t="str">
        <x:v>FR-09-TC-040</x:v>
      </x:c>
      <x:c r="B42" s="60" t="str">
        <x:v>HUMAN</x:v>
      </x:c>
      <x:c r="C42" s="60" t="str">
        <x:v>boundary</x:v>
      </x:c>
      <x:c r="D42" s="60" t="str">
        <x:v>Hạn dùng được đánh giá nhất quán tại ranh giới ngày</x:v>
      </x:c>
      <x:c r="E42" s="60" t="str">
        <x:v>POST</x:v>
      </x:c>
      <x:c r="F42" s="60" t="str">
        <x:v>/api/apply-coupon</x:v>
      </x:c>
      <x:c r="G42" s="60" t="str">
        <x:v>user</x:v>
      </x:c>
      <x:c r="H42" s="60" t="str">
        <x:v>Backend được reset và seed; baseUrl khả dụng.</x:v>
      </x:c>
      <x:c r="I42" s="60" t="str">
        <x:v>{"code":"EXPIRED","total_amount":500000,"user_id":2}</x:v>
      </x:c>
      <x:c r="J42" s="61" t="n">
        <x:v>400</x:v>
      </x:c>
      <x:c r="K42" s="60" t="str">
        <x:v>expiry-boundary</x:v>
      </x:c>
      <x:c r="L42" s="60" t="str"/>
      <x:c r="M42" s="60" t="str">
        <x:v>N/A</x:v>
      </x:c>
      <x:c r="N42" s="60" t="str">
        <x:v>Ca kiểm thử do sinh viên bổ sung sau audit. Không áp dụng.</x:v>
      </x:c>
      <x:c r="O42" s="60" t="str">
        <x:v>HTTP 400; tất cả assertion đạt.</x:v>
      </x:c>
      <x:c r="P42" s="60" t="str">
        <x:v>PASS</x:v>
      </x:c>
      <x:c r="Q42" s="60" t="str"/>
    </x:row>
  </x:sheetData>
  <x:mergeCells>
    <x:mergeCell ref="A1:Q1"/>
  </x:mergeCells>
  <x:conditionalFormatting sqref="P3:P42">
    <x:cfRule type="containsText" dxfId="4" priority="1" operator="containsText" text="PASS"/>
    <x:cfRule type="containsText" dxfId="5" priority="2" operator="containsText" text="FAIL"/>
  </x:conditionalFormatting>
  <x:conditionalFormatting sqref="M3:M42">
    <x:cfRule type="containsText" dxfId="6" priority="3" operator="containsText" text="INCOMPLETE"/>
    <x:cfRule type="containsText" dxfId="7" priority="4" operator="containsText" text="INVALID"/>
  </x:conditionalFormatting>
  <x:dataValidations count="1">
    <x:dataValidation type="list" sqref="P3:P42">
      <x:formula1>"PASS,FAIL,NOT_RUN"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f8ebeebfe741a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2" hidden="0" customWidth="1"/>
    <x:col min="3" max="3" width="12" hidden="0" customWidth="1"/>
    <x:col min="4" max="4" width="35" hidden="0" customWidth="1"/>
    <x:col min="5" max="5" width="10" hidden="0" customWidth="1"/>
    <x:col min="6" max="6" width="34" hidden="0" customWidth="1"/>
    <x:col min="7" max="7" width="10" hidden="0" customWidth="1"/>
    <x:col min="8" max="8" width="36" hidden="0" customWidth="1"/>
    <x:col min="9" max="9" width="36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48" hidden="0" customWidth="1"/>
    <x:col min="15" max="15" width="48" hidden="0" customWidth="1"/>
    <x:col min="16" max="16" width="16" hidden="0" customWidth="1"/>
    <x:col min="17" max="17" width="16" hidden="0" customWidth="1"/>
  </x:cols>
  <x:sheetData>
    <x:row r="1">
      <x:c r="A1" s="45" t="str">
        <x:v>FR-17 - 40 TEST CASES (35 AI + 5 HUMAN)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</x:row>
    <x:row r="2">
      <x:c r="A2" s="56" t="str">
        <x:v>ID</x:v>
      </x:c>
      <x:c r="B2" s="57" t="str">
        <x:v>Nguồn</x:v>
      </x:c>
      <x:c r="C2" s="57" t="str">
        <x:v>Loại</x:v>
      </x:c>
      <x:c r="D2" s="57" t="str">
        <x:v>Tên ca kiểm thử</x:v>
      </x:c>
      <x:c r="E2" s="57" t="str">
        <x:v>Method</x:v>
      </x:c>
      <x:c r="F2" s="57" t="str">
        <x:v>Endpoint</x:v>
      </x:c>
      <x:c r="G2" s="57" t="str">
        <x:v>Auth</x:v>
      </x:c>
      <x:c r="H2" s="57" t="str">
        <x:v>Tiền điều kiện</x:v>
      </x:c>
      <x:c r="I2" s="57" t="str">
        <x:v>Dữ liệu đầu vào</x:v>
      </x:c>
      <x:c r="J2" s="57" t="str">
        <x:v>HTTP mong đợi</x:v>
      </x:c>
      <x:c r="K2" s="57" t="str">
        <x:v>Oracle</x:v>
      </x:c>
      <x:c r="L2" s="57" t="str">
        <x:v>SEC</x:v>
      </x:c>
      <x:c r="M2" s="57" t="str">
        <x:v>Audit</x:v>
      </x:c>
      <x:c r="N2" s="57" t="str">
        <x:v>Lý do / Correction</x:v>
      </x:c>
      <x:c r="O2" s="57" t="str">
        <x:v>Kết quả thực tế</x:v>
      </x:c>
      <x:c r="P2" s="57" t="str">
        <x:v>Trạng thái</x:v>
      </x:c>
      <x:c r="Q2" s="58" t="str">
        <x:v>Bug ID</x:v>
      </x:c>
    </x:row>
    <x:row r="3">
      <x:c r="A3" s="60" t="str">
        <x:v>FR-17-TC-001</x:v>
      </x:c>
      <x:c r="B3" s="60" t="str">
        <x:v>AI</x:v>
      </x:c>
      <x:c r="C3" s="60" t="str">
        <x:v>security</x:v>
      </x:c>
      <x:c r="D3" s="60" t="str">
        <x:v>Admin lấy danh sách coupon</x:v>
      </x:c>
      <x:c r="E3" s="60" t="str">
        <x:v>GET</x:v>
      </x:c>
      <x:c r="F3" s="60" t="str">
        <x:v>/api/coupons</x:v>
      </x:c>
      <x:c r="G3" s="60" t="str">
        <x:v>admin</x:v>
      </x:c>
      <x:c r="H3" s="60" t="str">
        <x:v>Backend được reset và seed; baseUrl khả dụng.</x:v>
      </x:c>
      <x:c r="I3" s="60" t="str">
        <x:v>""</x:v>
      </x:c>
      <x:c r="J3" s="61" t="n">
        <x:v>200</x:v>
      </x:c>
      <x:c r="K3" s="60" t="str">
        <x:v>array-response</x:v>
      </x:c>
      <x:c r="L3" s="60" t="str">
        <x:v>SEC-02, SEC-03</x:v>
      </x:c>
      <x:c r="M3" s="60" t="str">
        <x:v>VALID</x:v>
      </x:c>
      <x:c r="N3" s="60" t="str">
        <x:v>Ca kiểm thử bám đúng đặc tả, có dữ liệu và oracle kiểm tra được. Không cần chỉnh sửa.</x:v>
      </x:c>
      <x:c r="O3" s="60" t="str">
        <x:v>HTTP 200; tất cả assertion đạt.</x:v>
      </x:c>
      <x:c r="P3" s="60" t="str">
        <x:v>PASS</x:v>
      </x:c>
      <x:c r="Q3" s="60" t="str"/>
    </x:row>
    <x:row r="4">
      <x:c r="A4" s="60" t="str">
        <x:v>FR-17-TC-002</x:v>
      </x:c>
      <x:c r="B4" s="60" t="str">
        <x:v>AI</x:v>
      </x:c>
      <x:c r="C4" s="60" t="str">
        <x:v>security</x:v>
      </x:c>
      <x:c r="D4" s="60" t="str">
        <x:v>User thường không được xem danh sách admin</x:v>
      </x:c>
      <x:c r="E4" s="60" t="str">
        <x:v>GET</x:v>
      </x:c>
      <x:c r="F4" s="60" t="str">
        <x:v>/api/coupons</x:v>
      </x:c>
      <x:c r="G4" s="60" t="str">
        <x:v>user</x:v>
      </x:c>
      <x:c r="H4" s="60" t="str">
        <x:v>Backend được reset và seed; baseUrl khả dụng.</x:v>
      </x:c>
      <x:c r="I4" s="60" t="str">
        <x:v>""</x:v>
      </x:c>
      <x:c r="J4" s="61" t="n">
        <x:v>403</x:v>
      </x:c>
      <x:c r="K4" s="60" t="str">
        <x:v>status-and-schema</x:v>
      </x:c>
      <x:c r="L4" s="60" t="str">
        <x:v>SEC-02, SEC-03</x:v>
      </x:c>
      <x:c r="M4" s="60" t="str">
        <x:v>VALID</x:v>
      </x:c>
      <x:c r="N4" s="60" t="str">
        <x:v>Ca kiểm thử bám đúng đặc tả, có dữ liệu và oracle kiểm tra được. Không cần chỉnh sửa.</x:v>
      </x:c>
      <x:c r="O4" s="60" t="str">
        <x:v>HTTP 200; 2 assertion lỗi: expected response to have status code 403 but got 200 | expected [ …(4) ] to have property 'error'</x:v>
      </x:c>
      <x:c r="P4" s="60" t="str">
        <x:v>FAIL</x:v>
      </x:c>
      <x:c r="Q4" s="60" t="str">
        <x:v>BUG-FR17-01</x:v>
      </x:c>
    </x:row>
    <x:row r="5">
      <x:c r="A5" s="60" t="str">
        <x:v>FR-17-TC-003</x:v>
      </x:c>
      <x:c r="B5" s="60" t="str">
        <x:v>AI</x:v>
      </x:c>
      <x:c r="C5" s="60" t="str">
        <x:v>security</x:v>
      </x:c>
      <x:c r="D5" s="60" t="str">
        <x:v>Thiếu token không được xem danh sách</x:v>
      </x:c>
      <x:c r="E5" s="60" t="str">
        <x:v>GET</x:v>
      </x:c>
      <x:c r="F5" s="60" t="str">
        <x:v>/api/coupons</x:v>
      </x:c>
      <x:c r="G5" s="60" t="str">
        <x:v>none</x:v>
      </x:c>
      <x:c r="H5" s="60" t="str">
        <x:v>Backend được reset và seed; baseUrl khả dụng.</x:v>
      </x:c>
      <x:c r="I5" s="60" t="str">
        <x:v>""</x:v>
      </x:c>
      <x:c r="J5" s="61" t="n">
        <x:v>401</x:v>
      </x:c>
      <x:c r="K5" s="60" t="str">
        <x:v>status-and-schema</x:v>
      </x:c>
      <x:c r="L5" s="60" t="str">
        <x:v>SEC-02</x:v>
      </x:c>
      <x:c r="M5" s="60" t="str">
        <x:v>VALID</x:v>
      </x:c>
      <x:c r="N5" s="60" t="str">
        <x:v>Ca kiểm thử bám đúng đặc tả, có dữ liệu và oracle kiểm tra được. Không cần chỉnh sửa.</x:v>
      </x:c>
      <x:c r="O5" s="60" t="str">
        <x:v>HTTP 401; tất cả assertion đạt.</x:v>
      </x:c>
      <x:c r="P5" s="60" t="str">
        <x:v>PASS</x:v>
      </x:c>
      <x:c r="Q5" s="60" t="str"/>
    </x:row>
    <x:row r="6">
      <x:c r="A6" s="60" t="str">
        <x:v>FR-17-TC-004</x:v>
      </x:c>
      <x:c r="B6" s="60" t="str">
        <x:v>AI</x:v>
      </x:c>
      <x:c r="C6" s="60" t="str">
        <x:v>security</x:v>
      </x:c>
      <x:c r="D6" s="60" t="str">
        <x:v>Token sai không được xem danh sách</x:v>
      </x:c>
      <x:c r="E6" s="60" t="str">
        <x:v>GET</x:v>
      </x:c>
      <x:c r="F6" s="60" t="str">
        <x:v>/api/coupons</x:v>
      </x:c>
      <x:c r="G6" s="60" t="str">
        <x:v>invalid</x:v>
      </x:c>
      <x:c r="H6" s="60" t="str">
        <x:v>Backend được reset và seed; baseUrl khả dụng.</x:v>
      </x:c>
      <x:c r="I6" s="60" t="str">
        <x:v>""</x:v>
      </x:c>
      <x:c r="J6" s="61" t="n">
        <x:v>403</x:v>
      </x:c>
      <x:c r="K6" s="60" t="str">
        <x:v>status-and-schema</x:v>
      </x:c>
      <x:c r="L6" s="60" t="str">
        <x:v>SEC-02</x:v>
      </x:c>
      <x:c r="M6" s="60" t="str">
        <x:v>VALID</x:v>
      </x:c>
      <x:c r="N6" s="60" t="str">
        <x:v>Ca kiểm thử bám đúng đặc tả, có dữ liệu và oracle kiểm tra được. Không cần chỉnh sửa.</x:v>
      </x:c>
      <x:c r="O6" s="60" t="str">
        <x:v>HTTP 403; tất cả assertion đạt.</x:v>
      </x:c>
      <x:c r="P6" s="60" t="str">
        <x:v>PASS</x:v>
      </x:c>
      <x:c r="Q6" s="60" t="str"/>
    </x:row>
    <x:row r="7">
      <x:c r="A7" s="60" t="str">
        <x:v>FR-17-TC-005</x:v>
      </x:c>
      <x:c r="B7" s="60" t="str">
        <x:v>AI</x:v>
      </x:c>
      <x:c r="C7" s="60" t="str">
        <x:v>schema</x:v>
      </x:c>
      <x:c r="D7" s="60" t="str">
        <x:v>Danh sách coupon không lộ dữ liệu ngoài schema</x:v>
      </x:c>
      <x:c r="E7" s="60" t="str">
        <x:v>GET</x:v>
      </x:c>
      <x:c r="F7" s="60" t="str">
        <x:v>/api/coupons</x:v>
      </x:c>
      <x:c r="G7" s="60" t="str">
        <x:v>admin</x:v>
      </x:c>
      <x:c r="H7" s="60" t="str">
        <x:v>Backend được reset và seed; baseUrl khả dụng.</x:v>
      </x:c>
      <x:c r="I7" s="60" t="str">
        <x:v>""</x:v>
      </x:c>
      <x:c r="J7" s="61" t="n">
        <x:v>200</x:v>
      </x:c>
      <x:c r="K7" s="60" t="str">
        <x:v>coupon-list-schema</x:v>
      </x:c>
      <x:c r="L7" s="60" t="str"/>
      <x:c r="M7" s="60" t="str">
        <x:v>VALID</x:v>
      </x:c>
      <x:c r="N7" s="60" t="str">
        <x:v>Ca kiểm thử bám đúng đặc tả, có dữ liệu và oracle kiểm tra được. Không cần chỉnh sửa.</x:v>
      </x:c>
      <x:c r="O7" s="60" t="str">
        <x:v>HTTP 200; tất cả assertion đạt.</x:v>
      </x:c>
      <x:c r="P7" s="60" t="str">
        <x:v>PASS</x:v>
      </x:c>
      <x:c r="Q7" s="60" t="str"/>
    </x:row>
    <x:row r="8">
      <x:c r="A8" s="60" t="str">
        <x:v>FR-17-TC-006</x:v>
      </x:c>
      <x:c r="B8" s="60" t="str">
        <x:v>AI</x:v>
      </x:c>
      <x:c r="C8" s="60" t="str">
        <x:v>domain</x:v>
      </x:c>
      <x:c r="D8" s="60" t="str">
        <x:v>Admin tạo coupon percent hợp lệ</x:v>
      </x:c>
      <x:c r="E8" s="60" t="str">
        <x:v>POST</x:v>
      </x:c>
      <x:c r="F8" s="60" t="str">
        <x:v>/api/admin/coupons</x:v>
      </x:c>
      <x:c r="G8" s="60" t="str">
        <x:v>admin</x:v>
      </x:c>
      <x:c r="H8" s="60" t="str">
        <x:v>Backend được reset và seed; baseUrl khả dụng.</x:v>
      </x:c>
      <x:c r="I8" s="60" t="str">
        <x:v>{"code":"NEWPCT01","type":"percent","discount_value":15,"min_order_amount":200000,"expired_at":"2099-12-31","max_uses_per_user":1}</x:v>
      </x:c>
      <x:c r="J8" s="61" t="n">
        <x:v>200</x:v>
      </x:c>
      <x:c r="K8" s="60" t="str">
        <x:v>status-and-schema</x:v>
      </x:c>
      <x:c r="L8" s="60" t="str"/>
      <x:c r="M8" s="60" t="str">
        <x:v>VALID</x:v>
      </x:c>
      <x:c r="N8" s="60" t="str">
        <x:v>Ca kiểm thử bám đúng đặc tả, có dữ liệu và oracle kiểm tra được. Không cần chỉnh sửa.</x:v>
      </x:c>
      <x:c r="O8" s="60" t="str">
        <x:v>HTTP 200; tất cả assertion đạt.</x:v>
      </x:c>
      <x:c r="P8" s="60" t="str">
        <x:v>PASS</x:v>
      </x:c>
      <x:c r="Q8" s="60" t="str"/>
    </x:row>
    <x:row r="9">
      <x:c r="A9" s="60" t="str">
        <x:v>FR-17-TC-007</x:v>
      </x:c>
      <x:c r="B9" s="60" t="str">
        <x:v>AI</x:v>
      </x:c>
      <x:c r="C9" s="60" t="str">
        <x:v>domain</x:v>
      </x:c>
      <x:c r="D9" s="60" t="str">
        <x:v>Admin tạo coupon fixed hợp lệ</x:v>
      </x:c>
      <x:c r="E9" s="60" t="str">
        <x:v>POST</x:v>
      </x:c>
      <x:c r="F9" s="60" t="str">
        <x:v>/api/admin/coupons</x:v>
      </x:c>
      <x:c r="G9" s="60" t="str">
        <x:v>admin</x:v>
      </x:c>
      <x:c r="H9" s="60" t="str">
        <x:v>Backend được reset và seed; baseUrl khả dụng.</x:v>
      </x:c>
      <x:c r="I9" s="60" t="str">
        <x:v>{"code":"NEWFIX01","type":"fixed","discount_value":50000,"min_order_amount":200000,"expired_at":"2099-12-31","max_uses_per_user":2}</x:v>
      </x:c>
      <x:c r="J9" s="61" t="n">
        <x:v>200</x:v>
      </x:c>
      <x:c r="K9" s="60" t="str">
        <x:v>status-and-schema</x:v>
      </x:c>
      <x:c r="L9" s="60" t="str"/>
      <x:c r="M9" s="60" t="str">
        <x:v>INCOMPLETE</x:v>
      </x:c>
      <x:c r="N9" s="60" t="str">
        <x:v>Bản AI ban đầu thiếu assertion schema hoặc hậu điều kiện có thể quan sát. Đã bổ sung expected keys và assertion nghiệp vụ tương ứng.</x:v>
      </x:c>
      <x:c r="O9" s="60" t="str">
        <x:v>HTTP 200; tất cả assertion đạt.</x:v>
      </x:c>
      <x:c r="P9" s="60" t="str">
        <x:v>PASS</x:v>
      </x:c>
      <x:c r="Q9" s="60" t="str"/>
    </x:row>
    <x:row r="10">
      <x:c r="A10" s="60" t="str">
        <x:v>FR-17-TC-008</x:v>
      </x:c>
      <x:c r="B10" s="60" t="str">
        <x:v>AI</x:v>
      </x:c>
      <x:c r="C10" s="60" t="str">
        <x:v>security</x:v>
      </x:c>
      <x:c r="D10" s="60" t="str">
        <x:v>User thường không được tạo coupon</x:v>
      </x:c>
      <x:c r="E10" s="60" t="str">
        <x:v>POST</x:v>
      </x:c>
      <x:c r="F10" s="60" t="str">
        <x:v>/api/admin/coupons</x:v>
      </x:c>
      <x:c r="G10" s="60" t="str">
        <x:v>user</x:v>
      </x:c>
      <x:c r="H10" s="60" t="str">
        <x:v>Backend được reset và seed; baseUrl khả dụng.</x:v>
      </x:c>
      <x:c r="I10" s="60" t="str">
        <x:v>{"code":"USERCREATE","type":"fixed","discount_value":1,"min_order_amount":0,"expired_at":"2099-12-31","max_uses_per_user":1}</x:v>
      </x:c>
      <x:c r="J10" s="61" t="n">
        <x:v>403</x:v>
      </x:c>
      <x:c r="K10" s="60" t="str">
        <x:v>status-and-schema</x:v>
      </x:c>
      <x:c r="L10" s="60" t="str">
        <x:v>SEC-03</x:v>
      </x:c>
      <x:c r="M10" s="60" t="str">
        <x:v>VALID</x:v>
      </x:c>
      <x:c r="N10" s="60" t="str">
        <x:v>Ca kiểm thử bám đúng đặc tả, có dữ liệu và oracle kiểm tra được. Không cần chỉnh sửa.</x:v>
      </x:c>
      <x:c r="O10" s="60" t="str">
        <x:v>HTTP 200; 2 assertion lỗi: expected response to have status code 403 but got 200 | expected { message: 'Coupon created', id: 7 } to have property 'error'</x:v>
      </x:c>
      <x:c r="P10" s="60" t="str">
        <x:v>FAIL</x:v>
      </x:c>
      <x:c r="Q10" s="60" t="str">
        <x:v>BUG-FR17-01</x:v>
      </x:c>
    </x:row>
    <x:row r="11">
      <x:c r="A11" s="60" t="str">
        <x:v>FR-17-TC-009</x:v>
      </x:c>
      <x:c r="B11" s="60" t="str">
        <x:v>AI</x:v>
      </x:c>
      <x:c r="C11" s="60" t="str">
        <x:v>security</x:v>
      </x:c>
      <x:c r="D11" s="60" t="str">
        <x:v>Thiếu token không được tạo coupon</x:v>
      </x:c>
      <x:c r="E11" s="60" t="str">
        <x:v>POST</x:v>
      </x:c>
      <x:c r="F11" s="60" t="str">
        <x:v>/api/admin/coupons</x:v>
      </x:c>
      <x:c r="G11" s="60" t="str">
        <x:v>none</x:v>
      </x:c>
      <x:c r="H11" s="60" t="str">
        <x:v>Backend được reset và seed; baseUrl khả dụng.</x:v>
      </x:c>
      <x:c r="I11" s="60" t="str">
        <x:v>{"code":"NOAUTH","type":"fixed","discount_value":1,"min_order_amount":0,"expired_at":"2099-12-31","max_uses_per_user":1}</x:v>
      </x:c>
      <x:c r="J11" s="61" t="n">
        <x:v>401</x:v>
      </x:c>
      <x:c r="K11" s="60" t="str">
        <x:v>status-and-schema</x:v>
      </x:c>
      <x:c r="L11" s="60" t="str">
        <x:v>SEC-02</x:v>
      </x:c>
      <x:c r="M11" s="60" t="str">
        <x:v>VALID</x:v>
      </x:c>
      <x:c r="N11" s="60" t="str">
        <x:v>Ca kiểm thử bám đúng đặc tả, có dữ liệu và oracle kiểm tra được. Không cần chỉnh sửa.</x:v>
      </x:c>
      <x:c r="O11" s="60" t="str">
        <x:v>HTTP 401; tất cả assertion đạt.</x:v>
      </x:c>
      <x:c r="P11" s="60" t="str">
        <x:v>PASS</x:v>
      </x:c>
      <x:c r="Q11" s="60" t="str"/>
    </x:row>
    <x:row r="12">
      <x:c r="A12" s="60" t="str">
        <x:v>FR-17-TC-010</x:v>
      </x:c>
      <x:c r="B12" s="60" t="str">
        <x:v>AI</x:v>
      </x:c>
      <x:c r="C12" s="60" t="str">
        <x:v>security</x:v>
      </x:c>
      <x:c r="D12" s="60" t="str">
        <x:v>Token sai không được tạo coupon</x:v>
      </x:c>
      <x:c r="E12" s="60" t="str">
        <x:v>POST</x:v>
      </x:c>
      <x:c r="F12" s="60" t="str">
        <x:v>/api/admin/coupons</x:v>
      </x:c>
      <x:c r="G12" s="60" t="str">
        <x:v>invalid</x:v>
      </x:c>
      <x:c r="H12" s="60" t="str">
        <x:v>Backend được reset và seed; baseUrl khả dụng.</x:v>
      </x:c>
      <x:c r="I12" s="60" t="str">
        <x:v>{"code":"BADTOKEN","type":"fixed","discount_value":1,"min_order_amount":0,"expired_at":"2099-12-31","max_uses_per_user":1}</x:v>
      </x:c>
      <x:c r="J12" s="61" t="n">
        <x:v>403</x:v>
      </x:c>
      <x:c r="K12" s="60" t="str">
        <x:v>status-and-schema</x:v>
      </x:c>
      <x:c r="L12" s="60" t="str">
        <x:v>SEC-02</x:v>
      </x:c>
      <x:c r="M12" s="60" t="str">
        <x:v>VALID</x:v>
      </x:c>
      <x:c r="N12" s="60" t="str">
        <x:v>Ca kiểm thử bám đúng đặc tả, có dữ liệu và oracle kiểm tra được. Không cần chỉnh sửa.</x:v>
      </x:c>
      <x:c r="O12" s="60" t="str">
        <x:v>HTTP 403; tất cả assertion đạt.</x:v>
      </x:c>
      <x:c r="P12" s="60" t="str">
        <x:v>PASS</x:v>
      </x:c>
      <x:c r="Q12" s="60" t="str"/>
    </x:row>
    <x:row r="13">
      <x:c r="A13" s="60" t="str">
        <x:v>FR-17-TC-011</x:v>
      </x:c>
      <x:c r="B13" s="60" t="str">
        <x:v>AI</x:v>
      </x:c>
      <x:c r="C13" s="60" t="str">
        <x:v>partition</x:v>
      </x:c>
      <x:c r="D13" s="60" t="str">
        <x:v>Thiếu code</x:v>
      </x:c>
      <x:c r="E13" s="60" t="str">
        <x:v>POST</x:v>
      </x:c>
      <x:c r="F13" s="60" t="str">
        <x:v>/api/admin/coupons</x:v>
      </x:c>
      <x:c r="G13" s="60" t="str">
        <x:v>admin</x:v>
      </x:c>
      <x:c r="H13" s="60" t="str">
        <x:v>Backend được reset và seed; baseUrl khả dụng.</x:v>
      </x:c>
      <x:c r="I13" s="60" t="str">
        <x:v>{"type":"fixed","discount_value":1,"min_order_amount":0,"expired_at":"2099-12-31","max_uses_per_user":1}</x:v>
      </x:c>
      <x:c r="J13" s="61" t="n">
        <x:v>400</x:v>
      </x:c>
      <x:c r="K13" s="60" t="str">
        <x:v>status-and-schema</x:v>
      </x:c>
      <x:c r="L13" s="60" t="str"/>
      <x:c r="M13" s="60" t="str">
        <x:v>INVALID</x:v>
      </x:c>
      <x:c r="N13" s="60" t="str">
        <x:v>Bản AI ban đầu suy đoán oracle theo hành vi phổ biến thay vì truy vết SRS. Đã thay oracle bằng status/ràng buộc trong SRS và bổ sung liên kết FR/SEC.</x:v>
      </x:c>
      <x:c r="O13" s="60" t="str">
        <x:v>HTTP 200; 2 assertion lỗi: expected response to have status code 400 but got 200 | expected { message: 'Coupon created', id: 8 } to have property 'error'</x:v>
      </x:c>
      <x:c r="P13" s="60" t="str">
        <x:v>FAIL</x:v>
      </x:c>
      <x:c r="Q13" s="60" t="str">
        <x:v>BUG-FR17-02</x:v>
      </x:c>
    </x:row>
    <x:row r="14">
      <x:c r="A14" s="60" t="str">
        <x:v>FR-17-TC-012</x:v>
      </x:c>
      <x:c r="B14" s="60" t="str">
        <x:v>AI</x:v>
      </x:c>
      <x:c r="C14" s="60" t="str">
        <x:v>partition</x:v>
      </x:c>
      <x:c r="D14" s="60" t="str">
        <x:v>Code rỗng</x:v>
      </x:c>
      <x:c r="E14" s="60" t="str">
        <x:v>POST</x:v>
      </x:c>
      <x:c r="F14" s="60" t="str">
        <x:v>/api/admin/coupons</x:v>
      </x:c>
      <x:c r="G14" s="60" t="str">
        <x:v>admin</x:v>
      </x:c>
      <x:c r="H14" s="60" t="str">
        <x:v>Backend được reset và seed; baseUrl khả dụng.</x:v>
      </x:c>
      <x:c r="I14" s="60" t="str">
        <x:v>{"code":"","type":"fixed","discount_value":1,"min_order_amount":0,"expired_at":"2099-12-31","max_uses_per_user":1}</x:v>
      </x:c>
      <x:c r="J14" s="61" t="n">
        <x:v>400</x:v>
      </x:c>
      <x:c r="K14" s="60" t="str">
        <x:v>status-and-schema</x:v>
      </x:c>
      <x:c r="L14" s="60" t="str"/>
      <x:c r="M14" s="60" t="str">
        <x:v>VALID</x:v>
      </x:c>
      <x:c r="N14" s="60" t="str">
        <x:v>Ca kiểm thử bám đúng đặc tả, có dữ liệu và oracle kiểm tra được. Không cần chỉnh sửa.</x:v>
      </x:c>
      <x:c r="O14" s="60" t="str">
        <x:v>HTTP 200; 2 assertion lỗi: expected response to have status code 400 but got 200 | expected { message: 'Coupon created', id: 9 } to have property 'error'</x:v>
      </x:c>
      <x:c r="P14" s="60" t="str">
        <x:v>FAIL</x:v>
      </x:c>
      <x:c r="Q14" s="60" t="str">
        <x:v>BUG-FR17-02</x:v>
      </x:c>
    </x:row>
    <x:row r="15">
      <x:c r="A15" s="60" t="str">
        <x:v>FR-17-TC-013</x:v>
      </x:c>
      <x:c r="B15" s="60" t="str">
        <x:v>AI</x:v>
      </x:c>
      <x:c r="C15" s="60" t="str">
        <x:v>partition</x:v>
      </x:c>
      <x:c r="D15" s="60" t="str">
        <x:v>Code chỉ khoảng trắng</x:v>
      </x:c>
      <x:c r="E15" s="60" t="str">
        <x:v>POST</x:v>
      </x:c>
      <x:c r="F15" s="60" t="str">
        <x:v>/api/admin/coupons</x:v>
      </x:c>
      <x:c r="G15" s="60" t="str">
        <x:v>admin</x:v>
      </x:c>
      <x:c r="H15" s="60" t="str">
        <x:v>Backend được reset và seed; baseUrl khả dụng.</x:v>
      </x:c>
      <x:c r="I15" s="60" t="str">
        <x:v>{"code":"   ","type":"fixed","discount_value":1,"min_order_amount":0,"expired_at":"2099-12-31","max_uses_per_user":1}</x:v>
      </x:c>
      <x:c r="J15" s="61" t="n">
        <x:v>400</x:v>
      </x:c>
      <x:c r="K15" s="60" t="str">
        <x:v>status-and-schema</x:v>
      </x:c>
      <x:c r="L15" s="60" t="str"/>
      <x:c r="M15" s="60" t="str">
        <x:v>VALID</x:v>
      </x:c>
      <x:c r="N15" s="60" t="str">
        <x:v>Ca kiểm thử bám đúng đặc tả, có dữ liệu và oracle kiểm tra được. Không cần chỉnh sửa.</x:v>
      </x:c>
      <x:c r="O15" s="60" t="str">
        <x:v>HTTP 200; 2 assertion lỗi: expected response to have status code 400 but got 200 | expected { message: 'Coupon created', id: 10 } to have property 'error'</x:v>
      </x:c>
      <x:c r="P15" s="60" t="str">
        <x:v>FAIL</x:v>
      </x:c>
      <x:c r="Q15" s="60" t="str">
        <x:v>BUG-FR17-02</x:v>
      </x:c>
    </x:row>
    <x:row r="16">
      <x:c r="A16" s="60" t="str">
        <x:v>FR-17-TC-014</x:v>
      </x:c>
      <x:c r="B16" s="60" t="str">
        <x:v>AI</x:v>
      </x:c>
      <x:c r="C16" s="60" t="str">
        <x:v>state</x:v>
      </x:c>
      <x:c r="D16" s="60" t="str">
        <x:v>Code trùng bị từ chối</x:v>
      </x:c>
      <x:c r="E16" s="60" t="str">
        <x:v>POST</x:v>
      </x:c>
      <x:c r="F16" s="60" t="str">
        <x:v>/api/admin/coupons</x:v>
      </x:c>
      <x:c r="G16" s="60" t="str">
        <x:v>admin</x:v>
      </x:c>
      <x:c r="H16" s="60" t="str">
        <x:v>Backend được reset và seed; baseUrl khả dụng.</x:v>
      </x:c>
      <x:c r="I16" s="60" t="str">
        <x:v>{"code":"DUPLICATE01","type":"fixed","discount_value":1,"min_order_amount":0,"expired_at":"2099-12-31","max_uses_per_user":1}</x:v>
      </x:c>
      <x:c r="J16" s="61" t="n">
        <x:v>409</x:v>
      </x:c>
      <x:c r="K16" s="60" t="str">
        <x:v>status-and-schema</x:v>
      </x:c>
      <x:c r="L16" s="60" t="str"/>
      <x:c r="M16" s="60" t="str">
        <x:v>INCOMPLETE</x:v>
      </x:c>
      <x:c r="N16" s="60" t="str">
        <x:v>Bản AI ban đầu thiếu assertion schema hoặc hậu điều kiện có thể quan sát. Đã bổ sung expected keys và assertion nghiệp vụ tương ứng.</x:v>
      </x:c>
      <x:c r="O16" s="60" t="str">
        <x:v>HTTP 500; 1 assertion lỗi: expected response to have status code 409 but got 500</x:v>
      </x:c>
      <x:c r="P16" s="60" t="str">
        <x:v>FAIL</x:v>
      </x:c>
      <x:c r="Q16" s="60" t="str">
        <x:v>BUG-FR17-03</x:v>
      </x:c>
    </x:row>
    <x:row r="17">
      <x:c r="A17" s="60" t="str">
        <x:v>FR-17-TC-015</x:v>
      </x:c>
      <x:c r="B17" s="60" t="str">
        <x:v>AI</x:v>
      </x:c>
      <x:c r="C17" s="60" t="str">
        <x:v>partition</x:v>
      </x:c>
      <x:c r="D17" s="60" t="str">
        <x:v>Thiếu type</x:v>
      </x:c>
      <x:c r="E17" s="60" t="str">
        <x:v>POST</x:v>
      </x:c>
      <x:c r="F17" s="60" t="str">
        <x:v>/api/admin/coupons</x:v>
      </x:c>
      <x:c r="G17" s="60" t="str">
        <x:v>admin</x:v>
      </x:c>
      <x:c r="H17" s="60" t="str">
        <x:v>Backend được reset và seed; baseUrl khả dụng.</x:v>
      </x:c>
      <x:c r="I17" s="60" t="str">
        <x:v>{"code":"NOTYPE","discount_value":1,"min_order_amount":0,"expired_at":"2099-12-31","max_uses_per_user":1}</x:v>
      </x:c>
      <x:c r="J17" s="61" t="n">
        <x:v>400</x:v>
      </x:c>
      <x:c r="K17" s="60" t="str">
        <x:v>status-and-schema</x:v>
      </x:c>
      <x:c r="L17" s="60" t="str"/>
      <x:c r="M17" s="60" t="str">
        <x:v>VALID</x:v>
      </x:c>
      <x:c r="N17" s="60" t="str">
        <x:v>Ca kiểm thử bám đúng đặc tả, có dữ liệu và oracle kiểm tra được. Không cần chỉnh sửa.</x:v>
      </x:c>
      <x:c r="O17" s="60" t="str">
        <x:v>HTTP 200; 2 assertion lỗi: expected response to have status code 400 but got 200 | expected { message: 'Coupon created', id: 12 } to have property 'error'</x:v>
      </x:c>
      <x:c r="P17" s="60" t="str">
        <x:v>FAIL</x:v>
      </x:c>
      <x:c r="Q17" s="60" t="str">
        <x:v>BUG-FR17-02</x:v>
      </x:c>
    </x:row>
    <x:row r="18">
      <x:c r="A18" s="60" t="str">
        <x:v>FR-17-TC-016</x:v>
      </x:c>
      <x:c r="B18" s="60" t="str">
        <x:v>AI</x:v>
      </x:c>
      <x:c r="C18" s="60" t="str">
        <x:v>partition</x:v>
      </x:c>
      <x:c r="D18" s="60" t="str">
        <x:v>Type ngoài percent/fixed</x:v>
      </x:c>
      <x:c r="E18" s="60" t="str">
        <x:v>POST</x:v>
      </x:c>
      <x:c r="F18" s="60" t="str">
        <x:v>/api/admin/coupons</x:v>
      </x:c>
      <x:c r="G18" s="60" t="str">
        <x:v>admin</x:v>
      </x:c>
      <x:c r="H18" s="60" t="str">
        <x:v>Backend được reset và seed; baseUrl khả dụng.</x:v>
      </x:c>
      <x:c r="I18" s="60" t="str">
        <x:v>{"code":"BADTYPE","type":"ratio","discount_value":1,"min_order_amount":0,"expired_at":"2099-12-31","max_uses_per_user":1}</x:v>
      </x:c>
      <x:c r="J18" s="61" t="n">
        <x:v>400</x:v>
      </x:c>
      <x:c r="K18" s="60" t="str">
        <x:v>status-and-schema</x:v>
      </x:c>
      <x:c r="L18" s="60" t="str"/>
      <x:c r="M18" s="60" t="str">
        <x:v>VALID</x:v>
      </x:c>
      <x:c r="N18" s="60" t="str">
        <x:v>Ca kiểm thử bám đúng đặc tả, có dữ liệu và oracle kiểm tra được. Không cần chỉnh sửa.</x:v>
      </x:c>
      <x:c r="O18" s="60" t="str">
        <x:v>HTTP 200; 2 assertion lỗi: expected response to have status code 400 but got 200 | expected { message: 'Coupon created', id: 13 } to have property 'error'</x:v>
      </x:c>
      <x:c r="P18" s="60" t="str">
        <x:v>FAIL</x:v>
      </x:c>
      <x:c r="Q18" s="60" t="str">
        <x:v>BUG-FR17-02</x:v>
      </x:c>
    </x:row>
    <x:row r="19">
      <x:c r="A19" s="60" t="str">
        <x:v>FR-17-TC-017</x:v>
      </x:c>
      <x:c r="B19" s="60" t="str">
        <x:v>AI</x:v>
      </x:c>
      <x:c r="C19" s="60" t="str">
        <x:v>partition</x:v>
      </x:c>
      <x:c r="D19" s="60" t="str">
        <x:v>Thiếu discount_value</x:v>
      </x:c>
      <x:c r="E19" s="60" t="str">
        <x:v>POST</x:v>
      </x:c>
      <x:c r="F19" s="60" t="str">
        <x:v>/api/admin/coupons</x:v>
      </x:c>
      <x:c r="G19" s="60" t="str">
        <x:v>admin</x:v>
      </x:c>
      <x:c r="H19" s="60" t="str">
        <x:v>Backend được reset và seed; baseUrl khả dụng.</x:v>
      </x:c>
      <x:c r="I19" s="60" t="str">
        <x:v>{"code":"NOVALUE","type":"fixed","min_order_amount":0,"expired_at":"2099-12-31","max_uses_per_user":1}</x:v>
      </x:c>
      <x:c r="J19" s="61" t="n">
        <x:v>400</x:v>
      </x:c>
      <x:c r="K19" s="60" t="str">
        <x:v>status-and-schema</x:v>
      </x:c>
      <x:c r="L19" s="60" t="str"/>
      <x:c r="M19" s="60" t="str">
        <x:v>VALID</x:v>
      </x:c>
      <x:c r="N19" s="60" t="str">
        <x:v>Ca kiểm thử bám đúng đặc tả, có dữ liệu và oracle kiểm tra được. Không cần chỉnh sửa.</x:v>
      </x:c>
      <x:c r="O19" s="60" t="str">
        <x:v>HTTP 200; 2 assertion lỗi: expected response to have status code 400 but got 200 | expected { message: 'Coupon created', id: 14 } to have property 'error'</x:v>
      </x:c>
      <x:c r="P19" s="60" t="str">
        <x:v>FAIL</x:v>
      </x:c>
      <x:c r="Q19" s="60" t="str">
        <x:v>BUG-FR17-02</x:v>
      </x:c>
    </x:row>
    <x:row r="20">
      <x:c r="A20" s="60" t="str">
        <x:v>FR-17-TC-018</x:v>
      </x:c>
      <x:c r="B20" s="60" t="str">
        <x:v>AI</x:v>
      </x:c>
      <x:c r="C20" s="60" t="str">
        <x:v>boundary</x:v>
      </x:c>
      <x:c r="D20" s="60" t="str">
        <x:v>discount_value bằng 0 bị từ chối</x:v>
      </x:c>
      <x:c r="E20" s="60" t="str">
        <x:v>POST</x:v>
      </x:c>
      <x:c r="F20" s="60" t="str">
        <x:v>/api/admin/coupons</x:v>
      </x:c>
      <x:c r="G20" s="60" t="str">
        <x:v>admin</x:v>
      </x:c>
      <x:c r="H20" s="60" t="str">
        <x:v>Backend được reset và seed; baseUrl khả dụng.</x:v>
      </x:c>
      <x:c r="I20" s="60" t="str">
        <x:v>{"code":"ZEROVALUE","type":"fixed","discount_value":0,"min_order_amount":0,"expired_at":"2099-12-31","max_uses_per_user":1}</x:v>
      </x:c>
      <x:c r="J20" s="61" t="n">
        <x:v>400</x:v>
      </x:c>
      <x:c r="K20" s="60" t="str">
        <x:v>status-and-schema</x:v>
      </x:c>
      <x:c r="L20" s="60" t="str"/>
      <x:c r="M20" s="60" t="str">
        <x:v>VALID</x:v>
      </x:c>
      <x:c r="N20" s="60" t="str">
        <x:v>Ca kiểm thử bám đúng đặc tả, có dữ liệu và oracle kiểm tra được. Không cần chỉnh sửa.</x:v>
      </x:c>
      <x:c r="O20" s="60" t="str">
        <x:v>HTTP 200; 2 assertion lỗi: expected response to have status code 400 but got 200 | expected { message: 'Coupon created', id: 15 } to have property 'error'</x:v>
      </x:c>
      <x:c r="P20" s="60" t="str">
        <x:v>FAIL</x:v>
      </x:c>
      <x:c r="Q20" s="60" t="str">
        <x:v>BUG-FR17-02</x:v>
      </x:c>
    </x:row>
    <x:row r="21">
      <x:c r="A21" s="60" t="str">
        <x:v>FR-17-TC-019</x:v>
      </x:c>
      <x:c r="B21" s="60" t="str">
        <x:v>AI</x:v>
      </x:c>
      <x:c r="C21" s="60" t="str">
        <x:v>boundary</x:v>
      </x:c>
      <x:c r="D21" s="60" t="str">
        <x:v>discount_value âm bị từ chối</x:v>
      </x:c>
      <x:c r="E21" s="60" t="str">
        <x:v>POST</x:v>
      </x:c>
      <x:c r="F21" s="60" t="str">
        <x:v>/api/admin/coupons</x:v>
      </x:c>
      <x:c r="G21" s="60" t="str">
        <x:v>admin</x:v>
      </x:c>
      <x:c r="H21" s="60" t="str">
        <x:v>Backend được reset và seed; baseUrl khả dụng.</x:v>
      </x:c>
      <x:c r="I21" s="60" t="str">
        <x:v>{"code":"NEGATIVE","type":"fixed","discount_value":-1,"min_order_amount":0,"expired_at":"2099-12-31","max_uses_per_user":1}</x:v>
      </x:c>
      <x:c r="J21" s="61" t="n">
        <x:v>400</x:v>
      </x:c>
      <x:c r="K21" s="60" t="str">
        <x:v>status-and-schema</x:v>
      </x:c>
      <x:c r="L21" s="60" t="str"/>
      <x:c r="M21" s="60" t="str">
        <x:v>VALID</x:v>
      </x:c>
      <x:c r="N21" s="60" t="str">
        <x:v>Ca kiểm thử bám đúng đặc tả, có dữ liệu và oracle kiểm tra được. Không cần chỉnh sửa.</x:v>
      </x:c>
      <x:c r="O21" s="60" t="str">
        <x:v>HTTP 200; 2 assertion lỗi: expected response to have status code 400 but got 200 | expected { message: 'Coupon created', id: 16 } to have property 'error'</x:v>
      </x:c>
      <x:c r="P21" s="60" t="str">
        <x:v>FAIL</x:v>
      </x:c>
      <x:c r="Q21" s="60" t="str">
        <x:v>BUG-FR17-02</x:v>
      </x:c>
    </x:row>
    <x:row r="22">
      <x:c r="A22" s="60" t="str">
        <x:v>FR-17-TC-020</x:v>
      </x:c>
      <x:c r="B22" s="60" t="str">
        <x:v>AI</x:v>
      </x:c>
      <x:c r="C22" s="60" t="str">
        <x:v>partition</x:v>
      </x:c>
      <x:c r="D22" s="60" t="str">
        <x:v>discount_value dạng chuỗi bị từ chối</x:v>
      </x:c>
      <x:c r="E22" s="60" t="str">
        <x:v>POST</x:v>
      </x:c>
      <x:c r="F22" s="60" t="str">
        <x:v>/api/admin/coupons</x:v>
      </x:c>
      <x:c r="G22" s="60" t="str">
        <x:v>admin</x:v>
      </x:c>
      <x:c r="H22" s="60" t="str">
        <x:v>Backend được reset và seed; baseUrl khả dụng.</x:v>
      </x:c>
      <x:c r="I22" s="60" t="str">
        <x:v>{"code":"STRINGVALUE","type":"fixed","discount_value":"10","min_order_amount":0,"expired_at":"2099-12-31","max_uses_per_user":1}</x:v>
      </x:c>
      <x:c r="J22" s="61" t="n">
        <x:v>400</x:v>
      </x:c>
      <x:c r="K22" s="60" t="str">
        <x:v>status-and-schema</x:v>
      </x:c>
      <x:c r="L22" s="60" t="str"/>
      <x:c r="M22" s="60" t="str">
        <x:v>VALID</x:v>
      </x:c>
      <x:c r="N22" s="60" t="str">
        <x:v>Ca kiểm thử bám đúng đặc tả, có dữ liệu và oracle kiểm tra được. Không cần chỉnh sửa.</x:v>
      </x:c>
      <x:c r="O22" s="60" t="str">
        <x:v>HTTP 200; 2 assertion lỗi: expected response to have status code 400 but got 200 | expected { message: 'Coupon created', id: 17 } to have property 'error'</x:v>
      </x:c>
      <x:c r="P22" s="60" t="str">
        <x:v>FAIL</x:v>
      </x:c>
      <x:c r="Q22" s="60" t="str">
        <x:v>BUG-FR17-02</x:v>
      </x:c>
    </x:row>
    <x:row r="23">
      <x:c r="A23" s="60" t="str">
        <x:v>FR-17-TC-021</x:v>
      </x:c>
      <x:c r="B23" s="60" t="str">
        <x:v>AI</x:v>
      </x:c>
      <x:c r="C23" s="60" t="str">
        <x:v>boundary</x:v>
      </x:c>
      <x:c r="D23" s="60" t="str">
        <x:v>min_order_amount bằng 0 hợp lệ</x:v>
      </x:c>
      <x:c r="E23" s="60" t="str">
        <x:v>POST</x:v>
      </x:c>
      <x:c r="F23" s="60" t="str">
        <x:v>/api/admin/coupons</x:v>
      </x:c>
      <x:c r="G23" s="60" t="str">
        <x:v>admin</x:v>
      </x:c>
      <x:c r="H23" s="60" t="str">
        <x:v>Backend được reset và seed; baseUrl khả dụng.</x:v>
      </x:c>
      <x:c r="I23" s="60" t="str">
        <x:v>{"code":"MINZERO","type":"fixed","discount_value":1,"min_order_amount":0,"expired_at":"2099-12-31","max_uses_per_user":1}</x:v>
      </x:c>
      <x:c r="J23" s="61" t="n">
        <x:v>200</x:v>
      </x:c>
      <x:c r="K23" s="60" t="str">
        <x:v>status-and-schema</x:v>
      </x:c>
      <x:c r="L23" s="60" t="str"/>
      <x:c r="M23" s="60" t="str">
        <x:v>INCOMPLETE</x:v>
      </x:c>
      <x:c r="N23" s="60" t="str">
        <x:v>Bản AI ban đầu thiếu assertion schema hoặc hậu điều kiện có thể quan sát. Đã bổ sung expected keys và assertion nghiệp vụ tương ứng.</x:v>
      </x:c>
      <x:c r="O23" s="60" t="str">
        <x:v>HTTP 200; tất cả assertion đạt.</x:v>
      </x:c>
      <x:c r="P23" s="60" t="str">
        <x:v>PASS</x:v>
      </x:c>
      <x:c r="Q23" s="60" t="str"/>
    </x:row>
    <x:row r="24">
      <x:c r="A24" s="60" t="str">
        <x:v>FR-17-TC-022</x:v>
      </x:c>
      <x:c r="B24" s="60" t="str">
        <x:v>AI</x:v>
      </x:c>
      <x:c r="C24" s="60" t="str">
        <x:v>boundary</x:v>
      </x:c>
      <x:c r="D24" s="60" t="str">
        <x:v>min_order_amount âm bị từ chối</x:v>
      </x:c>
      <x:c r="E24" s="60" t="str">
        <x:v>POST</x:v>
      </x:c>
      <x:c r="F24" s="60" t="str">
        <x:v>/api/admin/coupons</x:v>
      </x:c>
      <x:c r="G24" s="60" t="str">
        <x:v>admin</x:v>
      </x:c>
      <x:c r="H24" s="60" t="str">
        <x:v>Backend được reset và seed; baseUrl khả dụng.</x:v>
      </x:c>
      <x:c r="I24" s="60" t="str">
        <x:v>{"code":"MINNEG","type":"fixed","discount_value":1,"min_order_amount":-1,"expired_at":"2099-12-31","max_uses_per_user":1}</x:v>
      </x:c>
      <x:c r="J24" s="61" t="n">
        <x:v>400</x:v>
      </x:c>
      <x:c r="K24" s="60" t="str">
        <x:v>status-and-schema</x:v>
      </x:c>
      <x:c r="L24" s="60" t="str"/>
      <x:c r="M24" s="60" t="str">
        <x:v>INVALID</x:v>
      </x:c>
      <x:c r="N24" s="60" t="str">
        <x:v>Bản AI ban đầu suy đoán oracle theo hành vi phổ biến thay vì truy vết SRS. Đã thay oracle bằng status/ràng buộc trong SRS và bổ sung liên kết FR/SEC.</x:v>
      </x:c>
      <x:c r="O24" s="60" t="str">
        <x:v>HTTP 200; 2 assertion lỗi: expected response to have status code 400 but got 200 | expected { message: 'Coupon created', id: 19 } to have property 'error'</x:v>
      </x:c>
      <x:c r="P24" s="60" t="str">
        <x:v>FAIL</x:v>
      </x:c>
      <x:c r="Q24" s="60" t="str">
        <x:v>BUG-FR17-02</x:v>
      </x:c>
    </x:row>
    <x:row r="25">
      <x:c r="A25" s="60" t="str">
        <x:v>FR-17-TC-023</x:v>
      </x:c>
      <x:c r="B25" s="60" t="str">
        <x:v>AI</x:v>
      </x:c>
      <x:c r="C25" s="60" t="str">
        <x:v>partition</x:v>
      </x:c>
      <x:c r="D25" s="60" t="str">
        <x:v>Thiếu expired_at</x:v>
      </x:c>
      <x:c r="E25" s="60" t="str">
        <x:v>POST</x:v>
      </x:c>
      <x:c r="F25" s="60" t="str">
        <x:v>/api/admin/coupons</x:v>
      </x:c>
      <x:c r="G25" s="60" t="str">
        <x:v>admin</x:v>
      </x:c>
      <x:c r="H25" s="60" t="str">
        <x:v>Backend được reset và seed; baseUrl khả dụng.</x:v>
      </x:c>
      <x:c r="I25" s="60" t="str">
        <x:v>{"code":"NOEXP","type":"fixed","discount_value":1,"min_order_amount":0,"max_uses_per_user":1}</x:v>
      </x:c>
      <x:c r="J25" s="61" t="n">
        <x:v>400</x:v>
      </x:c>
      <x:c r="K25" s="60" t="str">
        <x:v>status-and-schema</x:v>
      </x:c>
      <x:c r="L25" s="60" t="str"/>
      <x:c r="M25" s="60" t="str">
        <x:v>VALID</x:v>
      </x:c>
      <x:c r="N25" s="60" t="str">
        <x:v>Ca kiểm thử bám đúng đặc tả, có dữ liệu và oracle kiểm tra được. Không cần chỉnh sửa.</x:v>
      </x:c>
      <x:c r="O25" s="60" t="str">
        <x:v>HTTP 200; 2 assertion lỗi: expected response to have status code 400 but got 200 | expected { message: 'Coupon created', id: 20 } to have property 'error'</x:v>
      </x:c>
      <x:c r="P25" s="60" t="str">
        <x:v>FAIL</x:v>
      </x:c>
      <x:c r="Q25" s="60" t="str">
        <x:v>BUG-FR17-02</x:v>
      </x:c>
    </x:row>
    <x:row r="26">
      <x:c r="A26" s="60" t="str">
        <x:v>FR-17-TC-024</x:v>
      </x:c>
      <x:c r="B26" s="60" t="str">
        <x:v>AI</x:v>
      </x:c>
      <x:c r="C26" s="60" t="str">
        <x:v>partition</x:v>
      </x:c>
      <x:c r="D26" s="60" t="str">
        <x:v>expired_at sai định dạng</x:v>
      </x:c>
      <x:c r="E26" s="60" t="str">
        <x:v>POST</x:v>
      </x:c>
      <x:c r="F26" s="60" t="str">
        <x:v>/api/admin/coupons</x:v>
      </x:c>
      <x:c r="G26" s="60" t="str">
        <x:v>admin</x:v>
      </x:c>
      <x:c r="H26" s="60" t="str">
        <x:v>Backend được reset và seed; baseUrl khả dụng.</x:v>
      </x:c>
      <x:c r="I26" s="60" t="str">
        <x:v>{"code":"BADEXP","type":"fixed","discount_value":1,"min_order_amount":0,"expired_at":"not-a-date","max_uses_per_user":1}</x:v>
      </x:c>
      <x:c r="J26" s="61" t="n">
        <x:v>400</x:v>
      </x:c>
      <x:c r="K26" s="60" t="str">
        <x:v>status-and-schema</x:v>
      </x:c>
      <x:c r="L26" s="60" t="str"/>
      <x:c r="M26" s="60" t="str">
        <x:v>VALID</x:v>
      </x:c>
      <x:c r="N26" s="60" t="str">
        <x:v>Ca kiểm thử bám đúng đặc tả, có dữ liệu và oracle kiểm tra được. Không cần chỉnh sửa.</x:v>
      </x:c>
      <x:c r="O26" s="60" t="str">
        <x:v>HTTP 200; 2 assertion lỗi: expected response to have status code 400 but got 200 | expected { message: 'Coupon created', id: 21 } to have property 'error'</x:v>
      </x:c>
      <x:c r="P26" s="60" t="str">
        <x:v>FAIL</x:v>
      </x:c>
      <x:c r="Q26" s="60" t="str">
        <x:v>BUG-FR17-02</x:v>
      </x:c>
    </x:row>
    <x:row r="27">
      <x:c r="A27" s="60" t="str">
        <x:v>FR-17-TC-025</x:v>
      </x:c>
      <x:c r="B27" s="60" t="str">
        <x:v>AI</x:v>
      </x:c>
      <x:c r="C27" s="60" t="str">
        <x:v>boundary</x:v>
      </x:c>
      <x:c r="D27" s="60" t="str">
        <x:v>max_uses_per_user bằng 1 hợp lệ</x:v>
      </x:c>
      <x:c r="E27" s="60" t="str">
        <x:v>POST</x:v>
      </x:c>
      <x:c r="F27" s="60" t="str">
        <x:v>/api/admin/coupons</x:v>
      </x:c>
      <x:c r="G27" s="60" t="str">
        <x:v>admin</x:v>
      </x:c>
      <x:c r="H27" s="60" t="str">
        <x:v>Backend được reset và seed; baseUrl khả dụng.</x:v>
      </x:c>
      <x:c r="I27" s="60" t="str">
        <x:v>{"code":"MAXONE","type":"fixed","discount_value":1,"min_order_amount":0,"expired_at":"2099-12-31","max_uses_per_user":1}</x:v>
      </x:c>
      <x:c r="J27" s="61" t="n">
        <x:v>200</x:v>
      </x:c>
      <x:c r="K27" s="60" t="str">
        <x:v>status-and-schema</x:v>
      </x:c>
      <x:c r="L27" s="60" t="str"/>
      <x:c r="M27" s="60" t="str">
        <x:v>VALID</x:v>
      </x:c>
      <x:c r="N27" s="60" t="str">
        <x:v>Ca kiểm thử bám đúng đặc tả, có dữ liệu và oracle kiểm tra được. Không cần chỉnh sửa.</x:v>
      </x:c>
      <x:c r="O27" s="60" t="str">
        <x:v>HTTP 200; tất cả assertion đạt.</x:v>
      </x:c>
      <x:c r="P27" s="60" t="str">
        <x:v>PASS</x:v>
      </x:c>
      <x:c r="Q27" s="60" t="str"/>
    </x:row>
    <x:row r="28">
      <x:c r="A28" s="60" t="str">
        <x:v>FR-17-TC-026</x:v>
      </x:c>
      <x:c r="B28" s="60" t="str">
        <x:v>AI</x:v>
      </x:c>
      <x:c r="C28" s="60" t="str">
        <x:v>boundary</x:v>
      </x:c>
      <x:c r="D28" s="60" t="str">
        <x:v>max_uses_per_user bằng 0 bị từ chối</x:v>
      </x:c>
      <x:c r="E28" s="60" t="str">
        <x:v>POST</x:v>
      </x:c>
      <x:c r="F28" s="60" t="str">
        <x:v>/api/admin/coupons</x:v>
      </x:c>
      <x:c r="G28" s="60" t="str">
        <x:v>admin</x:v>
      </x:c>
      <x:c r="H28" s="60" t="str">
        <x:v>Backend được reset và seed; baseUrl khả dụng.</x:v>
      </x:c>
      <x:c r="I28" s="60" t="str">
        <x:v>{"code":"MAXZERO","type":"fixed","discount_value":1,"min_order_amount":0,"expired_at":"2099-12-31","max_uses_per_user":0}</x:v>
      </x:c>
      <x:c r="J28" s="61" t="n">
        <x:v>400</x:v>
      </x:c>
      <x:c r="K28" s="60" t="str">
        <x:v>status-and-schema</x:v>
      </x:c>
      <x:c r="L28" s="60" t="str"/>
      <x:c r="M28" s="60" t="str">
        <x:v>VALID</x:v>
      </x:c>
      <x:c r="N28" s="60" t="str">
        <x:v>Ca kiểm thử bám đúng đặc tả, có dữ liệu và oracle kiểm tra được. Không cần chỉnh sửa.</x:v>
      </x:c>
      <x:c r="O28" s="60" t="str">
        <x:v>HTTP 200; 2 assertion lỗi: expected response to have status code 400 but got 200 | expected { message: 'Coupon created', id: 23 } to have property 'error'</x:v>
      </x:c>
      <x:c r="P28" s="60" t="str">
        <x:v>FAIL</x:v>
      </x:c>
      <x:c r="Q28" s="60" t="str">
        <x:v>BUG-FR17-02</x:v>
      </x:c>
    </x:row>
    <x:row r="29">
      <x:c r="A29" s="60" t="str">
        <x:v>FR-17-TC-027</x:v>
      </x:c>
      <x:c r="B29" s="60" t="str">
        <x:v>AI</x:v>
      </x:c>
      <x:c r="C29" s="60" t="str">
        <x:v>boundary</x:v>
      </x:c>
      <x:c r="D29" s="60" t="str">
        <x:v>max_uses_per_user âm bị từ chối</x:v>
      </x:c>
      <x:c r="E29" s="60" t="str">
        <x:v>POST</x:v>
      </x:c>
      <x:c r="F29" s="60" t="str">
        <x:v>/api/admin/coupons</x:v>
      </x:c>
      <x:c r="G29" s="60" t="str">
        <x:v>admin</x:v>
      </x:c>
      <x:c r="H29" s="60" t="str">
        <x:v>Backend được reset và seed; baseUrl khả dụng.</x:v>
      </x:c>
      <x:c r="I29" s="60" t="str">
        <x:v>{"code":"MAXNEG","type":"fixed","discount_value":1,"min_order_amount":0,"expired_at":"2099-12-31","max_uses_per_user":-1}</x:v>
      </x:c>
      <x:c r="J29" s="61" t="n">
        <x:v>400</x:v>
      </x:c>
      <x:c r="K29" s="60" t="str">
        <x:v>status-and-schema</x:v>
      </x:c>
      <x:c r="L29" s="60" t="str"/>
      <x:c r="M29" s="60" t="str">
        <x:v>VALID</x:v>
      </x:c>
      <x:c r="N29" s="60" t="str">
        <x:v>Ca kiểm thử bám đúng đặc tả, có dữ liệu và oracle kiểm tra được. Không cần chỉnh sửa.</x:v>
      </x:c>
      <x:c r="O29" s="60" t="str">
        <x:v>HTTP 200; 2 assertion lỗi: expected response to have status code 400 but got 200 | expected { message: 'Coupon created', id: 24 } to have property 'error'</x:v>
      </x:c>
      <x:c r="P29" s="60" t="str">
        <x:v>FAIL</x:v>
      </x:c>
      <x:c r="Q29" s="60" t="str">
        <x:v>BUG-FR17-02</x:v>
      </x:c>
    </x:row>
    <x:row r="30">
      <x:c r="A30" s="60" t="str">
        <x:v>FR-17-TC-028</x:v>
      </x:c>
      <x:c r="B30" s="60" t="str">
        <x:v>AI</x:v>
      </x:c>
      <x:c r="C30" s="60" t="str">
        <x:v>security</x:v>
      </x:c>
      <x:c r="D30" s="60" t="str">
        <x:v>Code SQL injection được lưu như dữ liệu</x:v>
      </x:c>
      <x:c r="E30" s="60" t="str">
        <x:v>POST</x:v>
      </x:c>
      <x:c r="F30" s="60" t="str">
        <x:v>/api/admin/coupons</x:v>
      </x:c>
      <x:c r="G30" s="60" t="str">
        <x:v>admin</x:v>
      </x:c>
      <x:c r="H30" s="60" t="str">
        <x:v>Backend được reset và seed; baseUrl khả dụng.</x:v>
      </x:c>
      <x:c r="I30" s="60" t="str">
        <x:v>{"code":"SQL'; DROP TABLE coupons;--","type":"fixed","discount_value":1,"min_order_amount":0,"expired_at":"2099-12-31","max_uses_per_user":1}</x:v>
      </x:c>
      <x:c r="J30" s="61" t="n">
        <x:v>200</x:v>
      </x:c>
      <x:c r="K30" s="60" t="str">
        <x:v>status-and-schema</x:v>
      </x:c>
      <x:c r="L30" s="60" t="str">
        <x:v>SEC-05</x:v>
      </x:c>
      <x:c r="M30" s="60" t="str">
        <x:v>INCOMPLETE</x:v>
      </x:c>
      <x:c r="N30" s="60" t="str">
        <x:v>Bản AI ban đầu thiếu assertion schema hoặc hậu điều kiện có thể quan sát. Đã bổ sung expected keys và assertion nghiệp vụ tương ứng.</x:v>
      </x:c>
      <x:c r="O30" s="60" t="str">
        <x:v>HTTP 200; tất cả assertion đạt.</x:v>
      </x:c>
      <x:c r="P30" s="60" t="str">
        <x:v>PASS</x:v>
      </x:c>
      <x:c r="Q30" s="60" t="str"/>
    </x:row>
    <x:row r="31">
      <x:c r="A31" s="60" t="str">
        <x:v>FR-17-TC-029</x:v>
      </x:c>
      <x:c r="B31" s="60" t="str">
        <x:v>AI</x:v>
      </x:c>
      <x:c r="C31" s="60" t="str">
        <x:v>security</x:v>
      </x:c>
      <x:c r="D31" s="60" t="str">
        <x:v>Code XSS không được thực thi</x:v>
      </x:c>
      <x:c r="E31" s="60" t="str">
        <x:v>POST</x:v>
      </x:c>
      <x:c r="F31" s="60" t="str">
        <x:v>/api/admin/coupons</x:v>
      </x:c>
      <x:c r="G31" s="60" t="str">
        <x:v>admin</x:v>
      </x:c>
      <x:c r="H31" s="60" t="str">
        <x:v>Backend được reset và seed; baseUrl khả dụng.</x:v>
      </x:c>
      <x:c r="I31" s="60" t="str">
        <x:v>{"code":"&lt;script&gt;alert(1)&lt;/script&gt;","type":"fixed","discount_value":1,"min_order_amount":0,"expired_at":"2099-12-31","max_uses_per_user":1}</x:v>
      </x:c>
      <x:c r="J31" s="61" t="n">
        <x:v>200</x:v>
      </x:c>
      <x:c r="K31" s="60" t="str">
        <x:v>status-and-schema</x:v>
      </x:c>
      <x:c r="L31" s="60" t="str"/>
      <x:c r="M31" s="60" t="str">
        <x:v>VALID</x:v>
      </x:c>
      <x:c r="N31" s="60" t="str">
        <x:v>Ca kiểm thử bám đúng đặc tả, có dữ liệu và oracle kiểm tra được. Không cần chỉnh sửa.</x:v>
      </x:c>
      <x:c r="O31" s="60" t="str">
        <x:v>HTTP 200; tất cả assertion đạt.</x:v>
      </x:c>
      <x:c r="P31" s="60" t="str">
        <x:v>PASS</x:v>
      </x:c>
      <x:c r="Q31" s="60" t="str"/>
    </x:row>
    <x:row r="32">
      <x:c r="A32" s="60" t="str">
        <x:v>FR-17-TC-030</x:v>
      </x:c>
      <x:c r="B32" s="60" t="str">
        <x:v>AI</x:v>
      </x:c>
      <x:c r="C32" s="60" t="str">
        <x:v>domain</x:v>
      </x:c>
      <x:c r="D32" s="60" t="str">
        <x:v>Admin xóa coupon tồn tại</x:v>
      </x:c>
      <x:c r="E32" s="60" t="str">
        <x:v>DELETE</x:v>
      </x:c>
      <x:c r="F32" s="60" t="str">
        <x:v>/api/admin/coupons/{{createdCouponId}}</x:v>
      </x:c>
      <x:c r="G32" s="60" t="str">
        <x:v>admin</x:v>
      </x:c>
      <x:c r="H32" s="60" t="str">
        <x:v>Backend được reset và seed; baseUrl khả dụng.</x:v>
      </x:c>
      <x:c r="I32" s="60" t="str">
        <x:v>""</x:v>
      </x:c>
      <x:c r="J32" s="61" t="n">
        <x:v>200</x:v>
      </x:c>
      <x:c r="K32" s="60" t="str">
        <x:v>status-and-schema</x:v>
      </x:c>
      <x:c r="L32" s="60" t="str"/>
      <x:c r="M32" s="60" t="str">
        <x:v>VALID</x:v>
      </x:c>
      <x:c r="N32" s="60" t="str">
        <x:v>Ca kiểm thử bám đúng đặc tả, có dữ liệu và oracle kiểm tra được. Không cần chỉnh sửa.</x:v>
      </x:c>
      <x:c r="O32" s="60" t="str">
        <x:v>HTTP 200; tất cả assertion đạt.</x:v>
      </x:c>
      <x:c r="P32" s="60" t="str">
        <x:v>PASS</x:v>
      </x:c>
      <x:c r="Q32" s="60" t="str"/>
    </x:row>
    <x:row r="33">
      <x:c r="A33" s="60" t="str">
        <x:v>FR-17-TC-031</x:v>
      </x:c>
      <x:c r="B33" s="60" t="str">
        <x:v>AI</x:v>
      </x:c>
      <x:c r="C33" s="60" t="str">
        <x:v>security</x:v>
      </x:c>
      <x:c r="D33" s="60" t="str">
        <x:v>User thường không được xóa coupon</x:v>
      </x:c>
      <x:c r="E33" s="60" t="str">
        <x:v>DELETE</x:v>
      </x:c>
      <x:c r="F33" s="60" t="str">
        <x:v>/api/admin/coupons/{{createdCouponId}}</x:v>
      </x:c>
      <x:c r="G33" s="60" t="str">
        <x:v>user</x:v>
      </x:c>
      <x:c r="H33" s="60" t="str">
        <x:v>Backend được reset và seed; baseUrl khả dụng.</x:v>
      </x:c>
      <x:c r="I33" s="60" t="str">
        <x:v>""</x:v>
      </x:c>
      <x:c r="J33" s="61" t="n">
        <x:v>403</x:v>
      </x:c>
      <x:c r="K33" s="60" t="str">
        <x:v>status-and-schema</x:v>
      </x:c>
      <x:c r="L33" s="60" t="str">
        <x:v>SEC-03</x:v>
      </x:c>
      <x:c r="M33" s="60" t="str">
        <x:v>VALID</x:v>
      </x:c>
      <x:c r="N33" s="60" t="str">
        <x:v>Ca kiểm thử bám đúng đặc tả, có dữ liệu và oracle kiểm tra được. Không cần chỉnh sửa.</x:v>
      </x:c>
      <x:c r="O33" s="60" t="str">
        <x:v>HTTP 200; 2 assertion lỗi: expected response to have status code 403 but got 200 | expected { message: 'Coupon deleted' } to have property 'error'</x:v>
      </x:c>
      <x:c r="P33" s="60" t="str">
        <x:v>FAIL</x:v>
      </x:c>
      <x:c r="Q33" s="60" t="str">
        <x:v>BUG-FR17-01</x:v>
      </x:c>
    </x:row>
    <x:row r="34">
      <x:c r="A34" s="60" t="str">
        <x:v>FR-17-TC-032</x:v>
      </x:c>
      <x:c r="B34" s="60" t="str">
        <x:v>AI</x:v>
      </x:c>
      <x:c r="C34" s="60" t="str">
        <x:v>security</x:v>
      </x:c>
      <x:c r="D34" s="60" t="str">
        <x:v>Thiếu token không được xóa coupon</x:v>
      </x:c>
      <x:c r="E34" s="60" t="str">
        <x:v>DELETE</x:v>
      </x:c>
      <x:c r="F34" s="60" t="str">
        <x:v>/api/admin/coupons/1</x:v>
      </x:c>
      <x:c r="G34" s="60" t="str">
        <x:v>none</x:v>
      </x:c>
      <x:c r="H34" s="60" t="str">
        <x:v>Backend được reset và seed; baseUrl khả dụng.</x:v>
      </x:c>
      <x:c r="I34" s="60" t="str">
        <x:v>""</x:v>
      </x:c>
      <x:c r="J34" s="61" t="n">
        <x:v>401</x:v>
      </x:c>
      <x:c r="K34" s="60" t="str">
        <x:v>status-and-schema</x:v>
      </x:c>
      <x:c r="L34" s="60" t="str">
        <x:v>SEC-02</x:v>
      </x:c>
      <x:c r="M34" s="60" t="str">
        <x:v>VALID</x:v>
      </x:c>
      <x:c r="N34" s="60" t="str">
        <x:v>Ca kiểm thử bám đúng đặc tả, có dữ liệu và oracle kiểm tra được. Không cần chỉnh sửa.</x:v>
      </x:c>
      <x:c r="O34" s="60" t="str">
        <x:v>HTTP 401; tất cả assertion đạt.</x:v>
      </x:c>
      <x:c r="P34" s="60" t="str">
        <x:v>PASS</x:v>
      </x:c>
      <x:c r="Q34" s="60" t="str"/>
    </x:row>
    <x:row r="35">
      <x:c r="A35" s="60" t="str">
        <x:v>FR-17-TC-033</x:v>
      </x:c>
      <x:c r="B35" s="60" t="str">
        <x:v>AI</x:v>
      </x:c>
      <x:c r="C35" s="60" t="str">
        <x:v>security</x:v>
      </x:c>
      <x:c r="D35" s="60" t="str">
        <x:v>Token sai không được xóa coupon</x:v>
      </x:c>
      <x:c r="E35" s="60" t="str">
        <x:v>DELETE</x:v>
      </x:c>
      <x:c r="F35" s="60" t="str">
        <x:v>/api/admin/coupons/1</x:v>
      </x:c>
      <x:c r="G35" s="60" t="str">
        <x:v>invalid</x:v>
      </x:c>
      <x:c r="H35" s="60" t="str">
        <x:v>Backend được reset và seed; baseUrl khả dụng.</x:v>
      </x:c>
      <x:c r="I35" s="60" t="str">
        <x:v>""</x:v>
      </x:c>
      <x:c r="J35" s="61" t="n">
        <x:v>403</x:v>
      </x:c>
      <x:c r="K35" s="60" t="str">
        <x:v>status-and-schema</x:v>
      </x:c>
      <x:c r="L35" s="60" t="str">
        <x:v>SEC-02</x:v>
      </x:c>
      <x:c r="M35" s="60" t="str">
        <x:v>INVALID</x:v>
      </x:c>
      <x:c r="N35" s="60" t="str">
        <x:v>Bản AI ban đầu suy đoán oracle theo hành vi phổ biến thay vì truy vết SRS. Đã thay oracle bằng status/ràng buộc trong SRS và bổ sung liên kết FR/SEC.</x:v>
      </x:c>
      <x:c r="O35" s="60" t="str">
        <x:v>HTTP 403; tất cả assertion đạt.</x:v>
      </x:c>
      <x:c r="P35" s="60" t="str">
        <x:v>PASS</x:v>
      </x:c>
      <x:c r="Q35" s="60" t="str"/>
    </x:row>
    <x:row r="36">
      <x:c r="A36" s="60" t="str">
        <x:v>FR-17-TC-034</x:v>
      </x:c>
      <x:c r="B36" s="60" t="str">
        <x:v>AI</x:v>
      </x:c>
      <x:c r="C36" s="60" t="str">
        <x:v>domain</x:v>
      </x:c>
      <x:c r="D36" s="60" t="str">
        <x:v>Xóa coupon không tồn tại trả 404</x:v>
      </x:c>
      <x:c r="E36" s="60" t="str">
        <x:v>DELETE</x:v>
      </x:c>
      <x:c r="F36" s="60" t="str">
        <x:v>/api/admin/coupons/999999</x:v>
      </x:c>
      <x:c r="G36" s="60" t="str">
        <x:v>admin</x:v>
      </x:c>
      <x:c r="H36" s="60" t="str">
        <x:v>Backend được reset và seed; baseUrl khả dụng.</x:v>
      </x:c>
      <x:c r="I36" s="60" t="str">
        <x:v>""</x:v>
      </x:c>
      <x:c r="J36" s="61" t="n">
        <x:v>404</x:v>
      </x:c>
      <x:c r="K36" s="60" t="str">
        <x:v>status-and-schema</x:v>
      </x:c>
      <x:c r="L36" s="60" t="str"/>
      <x:c r="M36" s="60" t="str">
        <x:v>VALID</x:v>
      </x:c>
      <x:c r="N36" s="60" t="str">
        <x:v>Ca kiểm thử bám đúng đặc tả, có dữ liệu và oracle kiểm tra được. Không cần chỉnh sửa.</x:v>
      </x:c>
      <x:c r="O36" s="60" t="str">
        <x:v>HTTP 200; 2 assertion lỗi: expected response to have status code 404 but got 200 | expected { message: 'Coupon deleted' } to have property 'error'</x:v>
      </x:c>
      <x:c r="P36" s="60" t="str">
        <x:v>FAIL</x:v>
      </x:c>
      <x:c r="Q36" s="60" t="str">
        <x:v>BUG-FR17-04</x:v>
      </x:c>
    </x:row>
    <x:row r="37">
      <x:c r="A37" s="60" t="str">
        <x:v>FR-17-TC-035</x:v>
      </x:c>
      <x:c r="B37" s="60" t="str">
        <x:v>AI</x:v>
      </x:c>
      <x:c r="C37" s="60" t="str">
        <x:v>partition</x:v>
      </x:c>
      <x:c r="D37" s="60" t="str">
        <x:v>ID xóa không phải số bị từ chối</x:v>
      </x:c>
      <x:c r="E37" s="60" t="str">
        <x:v>DELETE</x:v>
      </x:c>
      <x:c r="F37" s="60" t="str">
        <x:v>/api/admin/coupons/not-a-number</x:v>
      </x:c>
      <x:c r="G37" s="60" t="str">
        <x:v>admin</x:v>
      </x:c>
      <x:c r="H37" s="60" t="str">
        <x:v>Backend được reset và seed; baseUrl khả dụng.</x:v>
      </x:c>
      <x:c r="I37" s="60" t="str">
        <x:v>""</x:v>
      </x:c>
      <x:c r="J37" s="61" t="n">
        <x:v>400</x:v>
      </x:c>
      <x:c r="K37" s="60" t="str">
        <x:v>status-and-schema</x:v>
      </x:c>
      <x:c r="L37" s="60" t="str"/>
      <x:c r="M37" s="60" t="str">
        <x:v>INCOMPLETE</x:v>
      </x:c>
      <x:c r="N37" s="60" t="str">
        <x:v>Bản AI ban đầu thiếu assertion schema hoặc hậu điều kiện có thể quan sát. Đã bổ sung expected keys và assertion nghiệp vụ tương ứng.</x:v>
      </x:c>
      <x:c r="O37" s="60" t="str">
        <x:v>HTTP 200; 2 assertion lỗi: expected response to have status code 400 but got 200 | expected { message: 'Coupon deleted' } to have property 'error'</x:v>
      </x:c>
      <x:c r="P37" s="60" t="str">
        <x:v>FAIL</x:v>
      </x:c>
      <x:c r="Q37" s="60" t="str">
        <x:v>BUG-FR17-04</x:v>
      </x:c>
    </x:row>
    <x:row r="38">
      <x:c r="A38" s="60" t="str">
        <x:v>FR-17-TC-036</x:v>
      </x:c>
      <x:c r="B38" s="60" t="str">
        <x:v>HUMAN</x:v>
      </x:c>
      <x:c r="C38" s="60" t="str">
        <x:v>security</x:v>
      </x:c>
      <x:c r="D38" s="60" t="str">
        <x:v>JWT user có claim role giả trong body vẫn không có quyền</x:v>
      </x:c>
      <x:c r="E38" s="60" t="str">
        <x:v>POST</x:v>
      </x:c>
      <x:c r="F38" s="60" t="str">
        <x:v>/api/admin/coupons</x:v>
      </x:c>
      <x:c r="G38" s="60" t="str">
        <x:v>user</x:v>
      </x:c>
      <x:c r="H38" s="60" t="str">
        <x:v>Backend được reset và seed; baseUrl khả dụng.</x:v>
      </x:c>
      <x:c r="I38" s="60" t="str">
        <x:v>{"code":"ROLEBODY","type":"fixed","discount_value":1,"min_order_amount":0,"expired_at":"2099-12-31","max_uses_per_user":1,"role":"admin"}</x:v>
      </x:c>
      <x:c r="J38" s="61" t="n">
        <x:v>403</x:v>
      </x:c>
      <x:c r="K38" s="60" t="str">
        <x:v>status-and-schema</x:v>
      </x:c>
      <x:c r="L38" s="60" t="str">
        <x:v>SEC-03</x:v>
      </x:c>
      <x:c r="M38" s="60" t="str">
        <x:v>N/A</x:v>
      </x:c>
      <x:c r="N38" s="60" t="str">
        <x:v>Ca kiểm thử do sinh viên bổ sung sau audit. Không áp dụng.</x:v>
      </x:c>
      <x:c r="O38" s="60" t="str">
        <x:v>HTTP 200; 2 assertion lỗi: expected response to have status code 403 but got 200 | expected { message: 'Coupon created', id: 29 } to have property 'error'</x:v>
      </x:c>
      <x:c r="P38" s="60" t="str">
        <x:v>FAIL</x:v>
      </x:c>
      <x:c r="Q38" s="60" t="str">
        <x:v>BUG-FR17-01</x:v>
      </x:c>
    </x:row>
    <x:row r="39">
      <x:c r="A39" s="60" t="str">
        <x:v>FR-17-TC-037</x:v>
      </x:c>
      <x:c r="B39" s="60" t="str">
        <x:v>HUMAN</x:v>
      </x:c>
      <x:c r="C39" s="60" t="str">
        <x:v>concurrency</x:v>
      </x:c>
      <x:c r="D39" s="60" t="str">
        <x:v>Hai request tạo cùng code chỉ một request thành công</x:v>
      </x:c>
      <x:c r="E39" s="60" t="str">
        <x:v>POST</x:v>
      </x:c>
      <x:c r="F39" s="60" t="str">
        <x:v>/api/admin/coupons</x:v>
      </x:c>
      <x:c r="G39" s="60" t="str">
        <x:v>admin</x:v>
      </x:c>
      <x:c r="H39" s="60" t="str">
        <x:v>Backend được reset và seed; baseUrl khả dụng.</x:v>
      </x:c>
      <x:c r="I39" s="60" t="str">
        <x:v>{"code":"RACECODE","type":"fixed","discount_value":1,"min_order_amount":0,"expired_at":"2099-12-31","max_uses_per_user":1}</x:v>
      </x:c>
      <x:c r="J39" s="61" t="n">
        <x:v>409</x:v>
      </x:c>
      <x:c r="K39" s="60" t="str">
        <x:v>concurrent-duplicate</x:v>
      </x:c>
      <x:c r="L39" s="60" t="str">
        <x:v>SEC-05</x:v>
      </x:c>
      <x:c r="M39" s="60" t="str">
        <x:v>N/A</x:v>
      </x:c>
      <x:c r="N39" s="60" t="str">
        <x:v>Ca kiểm thử do sinh viên bổ sung sau audit. Không áp dụng.</x:v>
      </x:c>
      <x:c r="O39" s="60" t="str">
        <x:v>HTTP 500; 1 assertion lỗi: expected response to have status code 409 but got 500</x:v>
      </x:c>
      <x:c r="P39" s="60" t="str">
        <x:v>FAIL</x:v>
      </x:c>
      <x:c r="Q39" s="60" t="str">
        <x:v>BUG-FR17-03</x:v>
      </x:c>
    </x:row>
    <x:row r="40">
      <x:c r="A40" s="60" t="str">
        <x:v>FR-17-TC-038</x:v>
      </x:c>
      <x:c r="B40" s="60" t="str">
        <x:v>HUMAN</x:v>
      </x:c>
      <x:c r="C40" s="60" t="str">
        <x:v>state</x:v>
      </x:c>
      <x:c r="D40" s="60" t="str">
        <x:v>Xóa coupon đã có usage không để lại trạng thái sai</x:v>
      </x:c>
      <x:c r="E40" s="60" t="str">
        <x:v>DELETE</x:v>
      </x:c>
      <x:c r="F40" s="60" t="str">
        <x:v>/api/admin/coupons/1</x:v>
      </x:c>
      <x:c r="G40" s="60" t="str">
        <x:v>admin</x:v>
      </x:c>
      <x:c r="H40" s="60" t="str">
        <x:v>Backend được reset và seed; baseUrl khả dụng.</x:v>
      </x:c>
      <x:c r="I40" s="60" t="str">
        <x:v>""</x:v>
      </x:c>
      <x:c r="J40" s="61" t="n">
        <x:v>409</x:v>
      </x:c>
      <x:c r="K40" s="60" t="str">
        <x:v>referential-integrity</x:v>
      </x:c>
      <x:c r="L40" s="60" t="str"/>
      <x:c r="M40" s="60" t="str">
        <x:v>N/A</x:v>
      </x:c>
      <x:c r="N40" s="60" t="str">
        <x:v>Ca kiểm thử do sinh viên bổ sung sau audit. Không áp dụng.</x:v>
      </x:c>
      <x:c r="O40" s="60" t="str">
        <x:v>HTTP 200; 2 assertion lỗi: expected response to have status code 409 but got 200 | expected { message: 'Coupon deleted' } to have property 'error'</x:v>
      </x:c>
      <x:c r="P40" s="60" t="str">
        <x:v>FAIL</x:v>
      </x:c>
      <x:c r="Q40" s="60" t="str">
        <x:v>REVIEW</x:v>
      </x:c>
    </x:row>
    <x:row r="41">
      <x:c r="A41" s="60" t="str">
        <x:v>FR-17-TC-039</x:v>
      </x:c>
      <x:c r="B41" s="60" t="str">
        <x:v>HUMAN</x:v>
      </x:c>
      <x:c r="C41" s="60" t="str">
        <x:v>partition</x:v>
      </x:c>
      <x:c r="D41" s="60" t="str">
        <x:v>Code Unicode gần giống không bị đồng nhất ngoài ý muốn</x:v>
      </x:c>
      <x:c r="E41" s="60" t="str">
        <x:v>POST</x:v>
      </x:c>
      <x:c r="F41" s="60" t="str">
        <x:v>/api/admin/coupons</x:v>
      </x:c>
      <x:c r="G41" s="60" t="str">
        <x:v>admin</x:v>
      </x:c>
      <x:c r="H41" s="60" t="str">
        <x:v>Backend được reset và seed; baseUrl khả dụng.</x:v>
      </x:c>
      <x:c r="I41" s="60" t="str">
        <x:v>{"code":"SАVE10","type":"fixed","discount_value":1,"min_order_amount":0,"expired_at":"2099-12-31","max_uses_per_user":1}</x:v>
      </x:c>
      <x:c r="J41" s="61" t="n">
        <x:v>200</x:v>
      </x:c>
      <x:c r="K41" s="60" t="str">
        <x:v>status-and-schema</x:v>
      </x:c>
      <x:c r="L41" s="60" t="str"/>
      <x:c r="M41" s="60" t="str">
        <x:v>N/A</x:v>
      </x:c>
      <x:c r="N41" s="60" t="str">
        <x:v>Ca kiểm thử do sinh viên bổ sung sau audit. Không áp dụng.</x:v>
      </x:c>
      <x:c r="O41" s="60" t="str">
        <x:v>HTTP 200; tất cả assertion đạt.</x:v>
      </x:c>
      <x:c r="P41" s="60" t="str">
        <x:v>PASS</x:v>
      </x:c>
      <x:c r="Q41" s="60" t="str"/>
    </x:row>
    <x:row r="42">
      <x:c r="A42" s="60" t="str">
        <x:v>FR-17-TC-040</x:v>
      </x:c>
      <x:c r="B42" s="60" t="str">
        <x:v>HUMAN</x:v>
      </x:c>
      <x:c r="C42" s="60" t="str">
        <x:v>security</x:v>
      </x:c>
      <x:c r="D42" s="60" t="str">
        <x:v>Mass assignment is_active bị bỏ qua hoặc kiểm soát</x:v>
      </x:c>
      <x:c r="E42" s="60" t="str">
        <x:v>POST</x:v>
      </x:c>
      <x:c r="F42" s="60" t="str">
        <x:v>/api/admin/coupons</x:v>
      </x:c>
      <x:c r="G42" s="60" t="str">
        <x:v>admin</x:v>
      </x:c>
      <x:c r="H42" s="60" t="str">
        <x:v>Backend được reset và seed; baseUrl khả dụng.</x:v>
      </x:c>
      <x:c r="I42" s="60" t="str">
        <x:v>{"code":"MASSACTIVE","type":"fixed","discount_value":1,"min_order_amount":0,"expired_at":"2099-12-31","max_uses_per_user":1,"is_active":0}</x:v>
      </x:c>
      <x:c r="J42" s="61" t="n">
        <x:v>200</x:v>
      </x:c>
      <x:c r="K42" s="60" t="str">
        <x:v>mass-assignment</x:v>
      </x:c>
      <x:c r="L42" s="60" t="str"/>
      <x:c r="M42" s="60" t="str">
        <x:v>N/A</x:v>
      </x:c>
      <x:c r="N42" s="60" t="str">
        <x:v>Ca kiểm thử do sinh viên bổ sung sau audit. Không áp dụng.</x:v>
      </x:c>
      <x:c r="O42" s="60" t="str">
        <x:v>HTTP 200; tất cả assertion đạt.</x:v>
      </x:c>
      <x:c r="P42" s="60" t="str">
        <x:v>PASS</x:v>
      </x:c>
      <x:c r="Q42" s="60" t="str"/>
    </x:row>
  </x:sheetData>
  <x:mergeCells>
    <x:mergeCell ref="A1:Q1"/>
  </x:mergeCells>
  <x:conditionalFormatting sqref="P3:P42">
    <x:cfRule type="containsText" dxfId="8" priority="1" operator="containsText" text="PASS"/>
    <x:cfRule type="containsText" dxfId="9" priority="2" operator="containsText" text="FAIL"/>
  </x:conditionalFormatting>
  <x:conditionalFormatting sqref="M3:M42">
    <x:cfRule type="containsText" dxfId="10" priority="3" operator="containsText" text="INCOMPLETE"/>
    <x:cfRule type="containsText" dxfId="11" priority="4" operator="containsText" text="INVALID"/>
  </x:conditionalFormatting>
  <x:dataValidations count="1">
    <x:dataValidation type="list" sqref="P3:P42">
      <x:formula1>"PASS,FAIL,NOT_RUN"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ac78a507934c7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55" hidden="0" customWidth="1"/>
    <x:col min="4" max="4" width="10" hidden="0" customWidth="1"/>
    <x:col min="5" max="5" width="24" hidden="0" customWidth="1"/>
    <x:col min="6" max="6" width="24" hidden="0" customWidth="1"/>
  </x:cols>
  <x:sheetData>
    <x:row r="1">
      <x:c r="A1" s="44" t="str">
        <x:v>BUG TRACEABILITY MATRIX</x:v>
      </x:c>
      <x:c r="B1" s="44"/>
      <x:c r="C1" s="44"/>
      <x:c r="D1" s="44"/>
      <x:c r="E1" s="44"/>
      <x:c r="F1" s="44"/>
    </x:row>
    <x:row r="2">
      <x:c r="A2" s="62" t="str">
        <x:v>Bug ID</x:v>
      </x:c>
      <x:c r="B2" s="62" t="str">
        <x:v>Feature</x:v>
      </x:c>
      <x:c r="C2" s="62" t="str">
        <x:v>Test cases</x:v>
      </x:c>
      <x:c r="D2" s="62" t="str">
        <x:v>Số ca</x:v>
      </x:c>
      <x:c r="E2" s="62" t="str">
        <x:v>Trạng thái</x:v>
      </x:c>
      <x:c r="F2" s="62" t="str">
        <x:v>GitHub Issue</x:v>
      </x:c>
    </x:row>
    <x:row r="3">
      <x:c r="A3" s="60" t="str">
        <x:v>BUG-FR03-01</x:v>
      </x:c>
      <x:c r="B3" s="60" t="str">
        <x:v>FR-03</x:v>
      </x:c>
      <x:c r="C3" s="60" t="str">
        <x:v>FR-03-TC-001, FR-03-TC-002, FR-03-TC-013</x:v>
      </x:c>
      <x:c r="D3" s="60" t="n">
        <x:v>3</x:v>
      </x:c>
      <x:c r="E3" s="60" t="str">
        <x:v>Draft - cần ảnh thật</x:v>
      </x:c>
      <x:c r="F3" s="60" t="str">
        <x:v>TODO</x:v>
      </x:c>
    </x:row>
    <x:row r="4">
      <x:c r="A4" s="60" t="str">
        <x:v>BUG-FR03-02</x:v>
      </x:c>
      <x:c r="B4" s="60" t="str">
        <x:v>FR-03</x:v>
      </x:c>
      <x:c r="C4" s="60" t="str">
        <x:v>FR-03-TC-004, FR-03-TC-005, FR-03-TC-006, FR-03-TC-007, FR-03-TC-008, FR-03-TC-009, FR-03-TC-011, FR-03-TC-039</x:v>
      </x:c>
      <x:c r="D4" s="60" t="n">
        <x:v>8</x:v>
      </x:c>
      <x:c r="E4" s="60" t="str">
        <x:v>Draft - cần ảnh thật</x:v>
      </x:c>
      <x:c r="F4" s="60" t="str">
        <x:v>TODO</x:v>
      </x:c>
    </x:row>
    <x:row r="5">
      <x:c r="A5" s="60" t="str">
        <x:v>BUG-FR03-03</x:v>
      </x:c>
      <x:c r="B5" s="60" t="str">
        <x:v>FR-03</x:v>
      </x:c>
      <x:c r="C5" s="60" t="str">
        <x:v>FR-03-TC-027, FR-03-TC-028, FR-03-TC-029, FR-03-TC-030, FR-03-TC-031, FR-03-TC-032</x:v>
      </x:c>
      <x:c r="D5" s="60" t="n">
        <x:v>6</x:v>
      </x:c>
      <x:c r="E5" s="60" t="str">
        <x:v>Draft - cần ảnh thật</x:v>
      </x:c>
      <x:c r="F5" s="60" t="str">
        <x:v>TODO</x:v>
      </x:c>
    </x:row>
    <x:row r="6">
      <x:c r="A6" s="60" t="str">
        <x:v>BUG-FR03-04</x:v>
      </x:c>
      <x:c r="B6" s="60" t="str">
        <x:v>FR-03</x:v>
      </x:c>
      <x:c r="C6" s="60" t="str">
        <x:v>FR-03-TC-036</x:v>
      </x:c>
      <x:c r="D6" s="60" t="n">
        <x:v>1</x:v>
      </x:c>
      <x:c r="E6" s="60" t="str">
        <x:v>Draft - cần ảnh thật</x:v>
      </x:c>
      <x:c r="F6" s="60" t="str">
        <x:v>TODO</x:v>
      </x:c>
    </x:row>
    <x:row r="7">
      <x:c r="A7" s="60" t="str">
        <x:v>BUG-FR09-01</x:v>
      </x:c>
      <x:c r="B7" s="60" t="str">
        <x:v>FR-09</x:v>
      </x:c>
      <x:c r="C7" s="60" t="str">
        <x:v>FR-09-TC-001, FR-09-TC-013</x:v>
      </x:c>
      <x:c r="D7" s="60" t="n">
        <x:v>2</x:v>
      </x:c>
      <x:c r="E7" s="60" t="str">
        <x:v>Draft - cần ảnh thật</x:v>
      </x:c>
      <x:c r="F7" s="60" t="str">
        <x:v>TODO</x:v>
      </x:c>
    </x:row>
    <x:row r="8">
      <x:c r="A8" s="60" t="str">
        <x:v>BUG-FR09-02</x:v>
      </x:c>
      <x:c r="B8" s="60" t="str">
        <x:v>FR-09</x:v>
      </x:c>
      <x:c r="C8" s="60" t="str">
        <x:v>FR-09-TC-011, FR-09-TC-014</x:v>
      </x:c>
      <x:c r="D8" s="60" t="n">
        <x:v>2</x:v>
      </x:c>
      <x:c r="E8" s="60" t="str">
        <x:v>Draft - cần ảnh thật</x:v>
      </x:c>
      <x:c r="F8" s="60" t="str">
        <x:v>TODO</x:v>
      </x:c>
    </x:row>
    <x:row r="9">
      <x:c r="A9" s="60" t="str">
        <x:v>BUG-FR09-04</x:v>
      </x:c>
      <x:c r="B9" s="60" t="str">
        <x:v>FR-09</x:v>
      </x:c>
      <x:c r="C9" s="60" t="str">
        <x:v>FR-09-TC-019, FR-09-TC-021, FR-09-TC-028, FR-09-TC-029</x:v>
      </x:c>
      <x:c r="D9" s="60" t="n">
        <x:v>4</x:v>
      </x:c>
      <x:c r="E9" s="60" t="str">
        <x:v>Draft - cần ảnh thật</x:v>
      </x:c>
      <x:c r="F9" s="60" t="str">
        <x:v>TODO</x:v>
      </x:c>
    </x:row>
    <x:row r="10">
      <x:c r="A10" s="60" t="str">
        <x:v>BUG-FR09-03</x:v>
      </x:c>
      <x:c r="B10" s="60" t="str">
        <x:v>FR-09</x:v>
      </x:c>
      <x:c r="C10" s="60" t="str">
        <x:v>FR-09-TC-023, FR-09-TC-024</x:v>
      </x:c>
      <x:c r="D10" s="60" t="n">
        <x:v>2</x:v>
      </x:c>
      <x:c r="E10" s="60" t="str">
        <x:v>Draft - cần ảnh thật</x:v>
      </x:c>
      <x:c r="F10" s="60" t="str">
        <x:v>TODO</x:v>
      </x:c>
    </x:row>
    <x:row r="11">
      <x:c r="A11" s="60" t="str">
        <x:v>BUG-FR17-01</x:v>
      </x:c>
      <x:c r="B11" s="60" t="str">
        <x:v>FR-17</x:v>
      </x:c>
      <x:c r="C11" s="60" t="str">
        <x:v>FR-17-TC-002, FR-17-TC-008, FR-17-TC-031, FR-17-TC-036</x:v>
      </x:c>
      <x:c r="D11" s="60" t="n">
        <x:v>4</x:v>
      </x:c>
      <x:c r="E11" s="60" t="str">
        <x:v>Draft - cần ảnh thật</x:v>
      </x:c>
      <x:c r="F11" s="60" t="str">
        <x:v>TODO</x:v>
      </x:c>
    </x:row>
    <x:row r="12">
      <x:c r="A12" s="60" t="str">
        <x:v>BUG-FR17-02</x:v>
      </x:c>
      <x:c r="B12" s="60" t="str">
        <x:v>FR-17</x:v>
      </x:c>
      <x:c r="C12" s="60" t="str">
        <x:v>FR-17-TC-011, FR-17-TC-012, FR-17-TC-013, FR-17-TC-015, FR-17-TC-016, FR-17-TC-017, FR-17-TC-018, FR-17-TC-019, FR-17-TC-020, FR-17-TC-022, FR-17-TC-023, FR-17-TC-024, FR-17-TC-026, FR-17-TC-027</x:v>
      </x:c>
      <x:c r="D12" s="60" t="n">
        <x:v>14</x:v>
      </x:c>
      <x:c r="E12" s="60" t="str">
        <x:v>Draft - cần ảnh thật</x:v>
      </x:c>
      <x:c r="F12" s="60" t="str">
        <x:v>TODO</x:v>
      </x:c>
    </x:row>
    <x:row r="13">
      <x:c r="A13" s="60" t="str">
        <x:v>BUG-FR17-03</x:v>
      </x:c>
      <x:c r="B13" s="60" t="str">
        <x:v>FR-17</x:v>
      </x:c>
      <x:c r="C13" s="60" t="str">
        <x:v>FR-17-TC-014, FR-17-TC-037</x:v>
      </x:c>
      <x:c r="D13" s="60" t="n">
        <x:v>2</x:v>
      </x:c>
      <x:c r="E13" s="60" t="str">
        <x:v>Draft - cần ảnh thật</x:v>
      </x:c>
      <x:c r="F13" s="60" t="str">
        <x:v>TODO</x:v>
      </x:c>
    </x:row>
    <x:row r="14">
      <x:c r="A14" s="60" t="str">
        <x:v>BUG-FR17-04</x:v>
      </x:c>
      <x:c r="B14" s="60" t="str">
        <x:v>FR-17</x:v>
      </x:c>
      <x:c r="C14" s="60" t="str">
        <x:v>FR-17-TC-034, FR-17-TC-035</x:v>
      </x:c>
      <x:c r="D14" s="60" t="n">
        <x:v>2</x:v>
      </x:c>
      <x:c r="E14" s="60" t="str">
        <x:v>Draft - cần ảnh thật</x:v>
      </x:c>
      <x:c r="F14" s="60" t="str">
        <x:v>TODO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94a52a7b8ebf43ae"/>
  </x:tableParts>
</x:worksheet>
</file>